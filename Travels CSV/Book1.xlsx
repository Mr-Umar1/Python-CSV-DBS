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thon CSV DBS\Travels CSV\"/>
    </mc:Choice>
  </mc:AlternateContent>
  <xr:revisionPtr revIDLastSave="0" documentId="13_ncr:1_{FF7FAE3B-53BC-4922-B305-61A8EE8FF9AE}" xr6:coauthVersionLast="47" xr6:coauthVersionMax="47" xr10:uidLastSave="{00000000-0000-0000-0000-000000000000}"/>
  <bookViews>
    <workbookView xWindow="-110" yWindow="-110" windowWidth="19420" windowHeight="10300" xr2:uid="{0C5CA3F1-79B3-4583-B948-5C23C1F4F890}"/>
  </bookViews>
  <sheets>
    <sheet name="Travel_Tourism_Booking_100_Reco" sheetId="2" r:id="rId1"/>
    <sheet name="Sheet1" sheetId="1" r:id="rId2"/>
  </sheets>
  <definedNames>
    <definedName name="ExternalData_1" localSheetId="0" hidden="1">Travel_Tourism_Booking_100_Reco!$A$1:$Z$101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C2" i="2" l="1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B2" i="2" a="1"/>
  <c r="AB2" i="2" s="1"/>
  <c r="AK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2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2" i="2"/>
  <c r="AG2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F2" i="2" a="1"/>
  <c r="AF2" i="2" s="1"/>
  <c r="AE2" i="2" a="1"/>
  <c r="AE2" i="2" s="1"/>
  <c r="AD2" i="2" a="1"/>
  <c r="AD2" i="2" s="1"/>
  <c r="AC2" i="2" a="1"/>
  <c r="AC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F577A0-634F-476D-98C1-7378723AE048}" keepAlive="1" name="Query - Travel_Tourism_Booking_100_Records" description="Connection to the 'Travel_Tourism_Booking_100_Records' query in the workbook." type="5" refreshedVersion="8" background="1" saveData="1">
    <dbPr connection="Provider=Microsoft.Mashup.OleDb.1;Data Source=$Workbook$;Location=Travel_Tourism_Booking_100_Records;Extended Properties=&quot;&quot;" command="SELECT * FROM [Travel_Tourism_Booking_100_Record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<sst xmlns="http://schemas.openxmlformats.org/spreadsheetml/2006/main" count="1538" uniqueCount="277">
  <si>
    <t>Booking ID</t>
  </si>
  <si>
    <t>Customer Name</t>
  </si>
  <si>
    <t>Destination</t>
  </si>
  <si>
    <t>Package Type</t>
  </si>
  <si>
    <t>Booking Date</t>
  </si>
  <si>
    <t>Travel Date</t>
  </si>
  <si>
    <t>Travelers</t>
  </si>
  <si>
    <t>Package Cost</t>
  </si>
  <si>
    <t>Discount</t>
  </si>
  <si>
    <t>Final Amount</t>
  </si>
  <si>
    <t>Payment Mode</t>
  </si>
  <si>
    <t>Booking Status</t>
  </si>
  <si>
    <t>Travel Agency</t>
  </si>
  <si>
    <t>Tour Guide</t>
  </si>
  <si>
    <t>City</t>
  </si>
  <si>
    <t>Column1</t>
  </si>
  <si>
    <t>BK1001</t>
  </si>
  <si>
    <t>MeeraSharma</t>
  </si>
  <si>
    <t>Maldives</t>
  </si>
  <si>
    <t>Group</t>
  </si>
  <si>
    <t>UPI</t>
  </si>
  <si>
    <t>Confirmed</t>
  </si>
  <si>
    <t>Sky Travels</t>
  </si>
  <si>
    <t>Amit</t>
  </si>
  <si>
    <t>Mumbai</t>
  </si>
  <si>
    <t>Train</t>
  </si>
  <si>
    <t>3 Star</t>
  </si>
  <si>
    <t>Breakfast+Dinner</t>
  </si>
  <si>
    <t>Mobile App</t>
  </si>
  <si>
    <t>Yes</t>
  </si>
  <si>
    <t>BK1002</t>
  </si>
  <si>
    <t>SnehaVerma</t>
  </si>
  <si>
    <t>Shimla</t>
  </si>
  <si>
    <t>Solo</t>
  </si>
  <si>
    <t>Net Banking</t>
  </si>
  <si>
    <t>Happy Journey</t>
  </si>
  <si>
    <t>Rahul</t>
  </si>
  <si>
    <t>Nagpur</t>
  </si>
  <si>
    <t>Private Cab</t>
  </si>
  <si>
    <t>4 Star</t>
  </si>
  <si>
    <t>All Meals</t>
  </si>
  <si>
    <t>No</t>
  </si>
  <si>
    <t>BK1003</t>
  </si>
  <si>
    <t>RahulPawar</t>
  </si>
  <si>
    <t>Thailand</t>
  </si>
  <si>
    <t>Adventure</t>
  </si>
  <si>
    <t>Royal Tours</t>
  </si>
  <si>
    <t>Pooja</t>
  </si>
  <si>
    <t>Surat</t>
  </si>
  <si>
    <t>Flight</t>
  </si>
  <si>
    <t>Website</t>
  </si>
  <si>
    <t>BK1004</t>
  </si>
  <si>
    <t>MeeraShaikh</t>
  </si>
  <si>
    <t>Kerala</t>
  </si>
  <si>
    <t>Cash</t>
  </si>
  <si>
    <t>Nashik</t>
  </si>
  <si>
    <t>5 Star</t>
  </si>
  <si>
    <t>Breakfast</t>
  </si>
  <si>
    <t>Office</t>
  </si>
  <si>
    <t>BK1005</t>
  </si>
  <si>
    <t>RohanKhan</t>
  </si>
  <si>
    <t>Dubai</t>
  </si>
  <si>
    <t>Neha</t>
  </si>
  <si>
    <t>Pune</t>
  </si>
  <si>
    <t>BK1006</t>
  </si>
  <si>
    <t>AdityaPatel</t>
  </si>
  <si>
    <t>Pending</t>
  </si>
  <si>
    <t>Rohit</t>
  </si>
  <si>
    <t>BK1007</t>
  </si>
  <si>
    <t>KaranShaikh</t>
  </si>
  <si>
    <t>Kashmir</t>
  </si>
  <si>
    <t>Honeymoon</t>
  </si>
  <si>
    <t>Dream Holidays</t>
  </si>
  <si>
    <t>Sneha</t>
  </si>
  <si>
    <t>Ahmedabad</t>
  </si>
  <si>
    <t>Bus</t>
  </si>
  <si>
    <t>Agent</t>
  </si>
  <si>
    <t>BK1008</t>
  </si>
  <si>
    <t>VivaanKhan</t>
  </si>
  <si>
    <t>Debit Card</t>
  </si>
  <si>
    <t>BK1009</t>
  </si>
  <si>
    <t>RahulPatel</t>
  </si>
  <si>
    <t>Cancelled</t>
  </si>
  <si>
    <t>BK1010</t>
  </si>
  <si>
    <t>RiyaVerma</t>
  </si>
  <si>
    <t>Bali</t>
  </si>
  <si>
    <t>Jalgaon</t>
  </si>
  <si>
    <t>BK1011</t>
  </si>
  <si>
    <t>NehaVerma</t>
  </si>
  <si>
    <t>BK1012</t>
  </si>
  <si>
    <t>AmitPawar</t>
  </si>
  <si>
    <t>Holidays Hub</t>
  </si>
  <si>
    <t>Delhi</t>
  </si>
  <si>
    <t>BK1013</t>
  </si>
  <si>
    <t>ArjunKhan</t>
  </si>
  <si>
    <t>Manali</t>
  </si>
  <si>
    <t>Family</t>
  </si>
  <si>
    <t>BK1014</t>
  </si>
  <si>
    <t>IshitaYadav</t>
  </si>
  <si>
    <t>BK1015</t>
  </si>
  <si>
    <t>ArjunShaikh</t>
  </si>
  <si>
    <t>BK1016</t>
  </si>
  <si>
    <t>AaravGupta</t>
  </si>
  <si>
    <t>Goa</t>
  </si>
  <si>
    <t>BK1017</t>
  </si>
  <si>
    <t>Vikas</t>
  </si>
  <si>
    <t>BK1018</t>
  </si>
  <si>
    <t>ArjunJoshi</t>
  </si>
  <si>
    <t>Credit Card</t>
  </si>
  <si>
    <t>BK1019</t>
  </si>
  <si>
    <t>PriyaYadav</t>
  </si>
  <si>
    <t>Singapore</t>
  </si>
  <si>
    <t>BK1020</t>
  </si>
  <si>
    <t>SnehaJoshi</t>
  </si>
  <si>
    <t>BK1021</t>
  </si>
  <si>
    <t>RohanShaikh</t>
  </si>
  <si>
    <t>BK1022</t>
  </si>
  <si>
    <t>PoojaKhan</t>
  </si>
  <si>
    <t>BK1023</t>
  </si>
  <si>
    <t>SnehaPawar</t>
  </si>
  <si>
    <t>BK1024</t>
  </si>
  <si>
    <t>KaranGupta</t>
  </si>
  <si>
    <t>BK1025</t>
  </si>
  <si>
    <t>PriyaDeshmukh</t>
  </si>
  <si>
    <t>BK1026</t>
  </si>
  <si>
    <t>KaranKhan</t>
  </si>
  <si>
    <t>BK1027</t>
  </si>
  <si>
    <t>AnanyaVerma</t>
  </si>
  <si>
    <t>BK1028</t>
  </si>
  <si>
    <t>BK1029</t>
  </si>
  <si>
    <t>AdityaPawar</t>
  </si>
  <si>
    <t>BK1030</t>
  </si>
  <si>
    <t>RahulVerma</t>
  </si>
  <si>
    <t>BK1031</t>
  </si>
  <si>
    <t>MeeraPatel</t>
  </si>
  <si>
    <t>BK1032</t>
  </si>
  <si>
    <t>IshitaSharma</t>
  </si>
  <si>
    <t>BK1033</t>
  </si>
  <si>
    <t>AdityaDeshmukh</t>
  </si>
  <si>
    <t>BK1034</t>
  </si>
  <si>
    <t>Karan</t>
  </si>
  <si>
    <t>BK1035</t>
  </si>
  <si>
    <t>BK1036</t>
  </si>
  <si>
    <t>BK1037</t>
  </si>
  <si>
    <t>VivaanSharma</t>
  </si>
  <si>
    <t>BK1038</t>
  </si>
  <si>
    <t>RohanPawar</t>
  </si>
  <si>
    <t>BK1039</t>
  </si>
  <si>
    <t>RahulKhan</t>
  </si>
  <si>
    <t>BK1040</t>
  </si>
  <si>
    <t>PoojaPatel</t>
  </si>
  <si>
    <t>BK1041</t>
  </si>
  <si>
    <t>AnanyaGupta</t>
  </si>
  <si>
    <t>BK1042</t>
  </si>
  <si>
    <t>MeeraDeshmukh</t>
  </si>
  <si>
    <t>BK1043</t>
  </si>
  <si>
    <t>ArjunYadav</t>
  </si>
  <si>
    <t>BK1044</t>
  </si>
  <si>
    <t>IshitaDeshmukh</t>
  </si>
  <si>
    <t>BK1045</t>
  </si>
  <si>
    <t>RahulGupta</t>
  </si>
  <si>
    <t>BK1046</t>
  </si>
  <si>
    <t>NehaKhan</t>
  </si>
  <si>
    <t>BK1047</t>
  </si>
  <si>
    <t>VivaanPawar</t>
  </si>
  <si>
    <t>BK1048</t>
  </si>
  <si>
    <t>AdityaKhan</t>
  </si>
  <si>
    <t>BK1049</t>
  </si>
  <si>
    <t>AaravVerma</t>
  </si>
  <si>
    <t>BK1050</t>
  </si>
  <si>
    <t>PoojaYadav</t>
  </si>
  <si>
    <t>BK1051</t>
  </si>
  <si>
    <t>PoojaJoshi</t>
  </si>
  <si>
    <t>BK1052</t>
  </si>
  <si>
    <t>ArjunGupta</t>
  </si>
  <si>
    <t>BK1053</t>
  </si>
  <si>
    <t>RahulDeshmukh</t>
  </si>
  <si>
    <t>BK1054</t>
  </si>
  <si>
    <t>SnehaGupta</t>
  </si>
  <si>
    <t>BK1055</t>
  </si>
  <si>
    <t>BK1056</t>
  </si>
  <si>
    <t>BK1057</t>
  </si>
  <si>
    <t>ArjunVerma</t>
  </si>
  <si>
    <t>BK1058</t>
  </si>
  <si>
    <t>BK1059</t>
  </si>
  <si>
    <t>RohanPatel</t>
  </si>
  <si>
    <t>BK1060</t>
  </si>
  <si>
    <t>PoojaPawar</t>
  </si>
  <si>
    <t>BK1061</t>
  </si>
  <si>
    <t>ArjunSharma</t>
  </si>
  <si>
    <t>BK1062</t>
  </si>
  <si>
    <t>AaravYadav</t>
  </si>
  <si>
    <t>BK1063</t>
  </si>
  <si>
    <t>AdityaVerma</t>
  </si>
  <si>
    <t>BK1064</t>
  </si>
  <si>
    <t>BK1065</t>
  </si>
  <si>
    <t>BK1066</t>
  </si>
  <si>
    <t>BK1067</t>
  </si>
  <si>
    <t>AnanyaSharma</t>
  </si>
  <si>
    <t>BK1068</t>
  </si>
  <si>
    <t>AmitKhan</t>
  </si>
  <si>
    <t>BK1069</t>
  </si>
  <si>
    <t>RiyaYadav</t>
  </si>
  <si>
    <t>BK1070</t>
  </si>
  <si>
    <t>AaravShaikh</t>
  </si>
  <si>
    <t>BK1071</t>
  </si>
  <si>
    <t>AnanyaPawar</t>
  </si>
  <si>
    <t>BK1072</t>
  </si>
  <si>
    <t>AnanyaPatel</t>
  </si>
  <si>
    <t>BK1073</t>
  </si>
  <si>
    <t>VivaanGupta</t>
  </si>
  <si>
    <t>BK1074</t>
  </si>
  <si>
    <t>RohanVerma</t>
  </si>
  <si>
    <t>BK1075</t>
  </si>
  <si>
    <t>NehaPawar</t>
  </si>
  <si>
    <t>BK1076</t>
  </si>
  <si>
    <t>NehaSharma</t>
  </si>
  <si>
    <t>BK1077</t>
  </si>
  <si>
    <t>BK1078</t>
  </si>
  <si>
    <t>PoojaShaikh</t>
  </si>
  <si>
    <t>BK1079</t>
  </si>
  <si>
    <t>AdityaSharma</t>
  </si>
  <si>
    <t>BK1080</t>
  </si>
  <si>
    <t>PriyaVerma</t>
  </si>
  <si>
    <t>BK1081</t>
  </si>
  <si>
    <t>VivaanDeshmukh</t>
  </si>
  <si>
    <t>BK1082</t>
  </si>
  <si>
    <t>KaranPawar</t>
  </si>
  <si>
    <t>BK1083</t>
  </si>
  <si>
    <t>BK1084</t>
  </si>
  <si>
    <t>AaravPawar</t>
  </si>
  <si>
    <t>BK1085</t>
  </si>
  <si>
    <t>AaravDeshmukh</t>
  </si>
  <si>
    <t>BK1086</t>
  </si>
  <si>
    <t>BK1087</t>
  </si>
  <si>
    <t>BK1088</t>
  </si>
  <si>
    <t>RiyaDeshmukh</t>
  </si>
  <si>
    <t>BK1089</t>
  </si>
  <si>
    <t>BK1090</t>
  </si>
  <si>
    <t>AmitDeshmukh</t>
  </si>
  <si>
    <t>BK1091</t>
  </si>
  <si>
    <t>VivaanPatel</t>
  </si>
  <si>
    <t>BK1092</t>
  </si>
  <si>
    <t>BK1093</t>
  </si>
  <si>
    <t>MeeraPawar</t>
  </si>
  <si>
    <t>BK1094</t>
  </si>
  <si>
    <t>RahulShaikh</t>
  </si>
  <si>
    <t>BK1095</t>
  </si>
  <si>
    <t>AnanyaYadav</t>
  </si>
  <si>
    <t>BK1096</t>
  </si>
  <si>
    <t>PriyaGupta</t>
  </si>
  <si>
    <t>BK1097</t>
  </si>
  <si>
    <t>BK1098</t>
  </si>
  <si>
    <t>BK1099</t>
  </si>
  <si>
    <t>BK1100</t>
  </si>
  <si>
    <t>Hotel Rating</t>
  </si>
  <si>
    <t xml:space="preserve">Meal </t>
  </si>
  <si>
    <t>Source</t>
  </si>
  <si>
    <t>Insurance</t>
  </si>
  <si>
    <t>GST</t>
  </si>
  <si>
    <t>Service Charge</t>
  </si>
  <si>
    <t>Grand Total</t>
  </si>
  <si>
    <t>VIP Customer</t>
  </si>
  <si>
    <t>Loyalty Discount</t>
  </si>
  <si>
    <t>Netpayable</t>
  </si>
  <si>
    <t>IF</t>
  </si>
  <si>
    <t>Nested IF</t>
  </si>
  <si>
    <t xml:space="preserve">And </t>
  </si>
  <si>
    <t>OR</t>
  </si>
  <si>
    <t>Sum if</t>
  </si>
  <si>
    <t>Sumifs</t>
  </si>
  <si>
    <t>Count IF</t>
  </si>
  <si>
    <t>Count IFS</t>
  </si>
  <si>
    <t>Average If</t>
  </si>
  <si>
    <t>Averag IFS</t>
  </si>
  <si>
    <t>Vlookup</t>
  </si>
  <si>
    <t>Xloocup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</si>
</sst>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683724-E920-4998-B74C-35BEA6E35411}" autoFormatId="16" applyNumberFormats="0" applyBorderFormats="0" applyFontFormats="0" applyPatternFormats="0" applyAlignmentFormats="0" applyWidthHeightFormats="0">
  <queryTableRefresh nextId="27">
    <queryTableFields count="26">
      <queryTableField id="1" name="Booking ID" tableColumnId="1"/>
      <queryTableField id="2" name="Customer Name" tableColumnId="2"/>
      <queryTableField id="3" name="Destination" tableColumnId="3"/>
      <queryTableField id="4" name="Package Type" tableColumnId="4"/>
      <queryTableField id="5" name="Booking Date" tableColumnId="5"/>
      <queryTableField id="6" name="Travel Date" tableColumnId="6"/>
      <queryTableField id="7" name="Travelers" tableColumnId="7"/>
      <queryTableField id="8" name="Package Cost" tableColumnId="8"/>
      <queryTableField id="9" name="Discount" tableColumnId="9"/>
      <queryTableField id="10" name="Final Amount" tableColumnId="10"/>
      <queryTableField id="11" name="Payment Mode" tableColumnId="11"/>
      <queryTableField id="12" name="Booking Status" tableColumnId="12"/>
      <queryTableField id="13" name="Travel Agency" tableColumnId="13"/>
      <queryTableField id="14" name="Tour Guide" tableColumnId="14"/>
      <queryTableField id="15" name="City" tableColumnId="15"/>
      <queryTableField id="16" name="Column1" tableColumnId="16"/>
      <queryTableField id="17" name="_1" tableColumnId="17"/>
      <queryTableField id="18" name="_2" tableColumnId="18"/>
      <queryTableField id="19" name="_3" tableColumnId="19"/>
      <queryTableField id="20" name="_4" tableColumnId="20"/>
      <queryTableField id="21" name="_5" tableColumnId="21"/>
      <queryTableField id="22" name="_6" tableColumnId="22"/>
      <queryTableField id="23" name="_7" tableColumnId="23"/>
      <queryTableField id="24" name="_8" tableColumnId="24"/>
      <queryTableField id="25" name="_9" tableColumnId="25"/>
      <queryTableField id="26" name="_10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B51346-F7CE-4250-A427-B69385CAB5CE}" name="Travel_Tourism_Booking_100_Records" displayName="Travel_Tourism_Booking_100_Records" ref="A1:Z101" tableType="queryTable" totalsRowShown="0">
  <autoFilter ref="A1:Z101" xr:uid="{DFB51346-F7CE-4250-A427-B69385CAB5CE}"/>
  <tableColumns count="26">
    <tableColumn id="1" xr3:uid="{938E07B8-7FD3-4887-A9D4-882A01F230F5}" uniqueName="1" name="Booking ID" queryTableFieldId="1" dataDxfId="16"/>
    <tableColumn id="2" xr3:uid="{DA071C40-97C6-4AC8-9C1C-CBF28814739F}" uniqueName="2" name="Customer Name" queryTableFieldId="2" dataDxfId="15"/>
    <tableColumn id="3" xr3:uid="{FD7EC580-276D-405F-A357-6E64F8BD1A56}" uniqueName="3" name="Destination" queryTableFieldId="3" dataDxfId="14"/>
    <tableColumn id="4" xr3:uid="{EFCFC3D0-0F2C-48B5-B30F-B15274938235}" uniqueName="4" name="Package Type" queryTableFieldId="4" dataDxfId="13"/>
    <tableColumn id="5" xr3:uid="{9A6E4342-B7F1-4021-93C0-AB4DF8C25320}" uniqueName="5" name="Booking Date" queryTableFieldId="5" dataDxfId="12"/>
    <tableColumn id="6" xr3:uid="{ECFB256C-A934-44AC-8936-2E9ED77A8BD5}" uniqueName="6" name="Travel Date" queryTableFieldId="6" dataDxfId="11"/>
    <tableColumn id="7" xr3:uid="{FC54DF38-0696-44A4-AB71-71DE70462C55}" uniqueName="7" name="Travelers" queryTableFieldId="7"/>
    <tableColumn id="8" xr3:uid="{3D7A3BA2-4652-4CC1-93E0-5FDDF6CBCE5D}" uniqueName="8" name="Package Cost" queryTableFieldId="8"/>
    <tableColumn id="9" xr3:uid="{DC119432-9928-47C6-B740-7F2A1FFB661C}" uniqueName="9" name="Discount" queryTableFieldId="9"/>
    <tableColumn id="10" xr3:uid="{4D15F3A8-7D08-4DAA-AAF3-B393C195B00E}" uniqueName="10" name="Final Amount" queryTableFieldId="10"/>
    <tableColumn id="11" xr3:uid="{754F3962-ED01-46AF-B482-DE4CD9D76D4F}" uniqueName="11" name="Payment Mode" queryTableFieldId="11" dataDxfId="10"/>
    <tableColumn id="12" xr3:uid="{3FACCECD-B48D-4920-8C8A-2CEBA0390BF1}" uniqueName="12" name="Booking Status" queryTableFieldId="12" dataDxfId="9"/>
    <tableColumn id="13" xr3:uid="{89C81FF2-18C1-47C9-89B1-5C1D18B974A6}" uniqueName="13" name="Travel Agency" queryTableFieldId="13" dataDxfId="8"/>
    <tableColumn id="14" xr3:uid="{4BF53BDA-FDF5-46BE-A49B-28095865D1B5}" uniqueName="14" name="Tour Guide" queryTableFieldId="14" dataDxfId="7"/>
    <tableColumn id="15" xr3:uid="{20A255BC-E099-47F7-A1D4-1D8849008B62}" uniqueName="15" name="City" queryTableFieldId="15" dataDxfId="6"/>
    <tableColumn id="16" xr3:uid="{4CAF6A1F-569A-4505-B868-3863BBDA720C}" uniqueName="16" name="Column1" queryTableFieldId="16" dataDxfId="5"/>
    <tableColumn id="17" xr3:uid="{0AFA1A07-A438-4895-930A-0A840018F711}" uniqueName="17" name="Hotel Rating" queryTableFieldId="17" dataDxfId="4"/>
    <tableColumn id="18" xr3:uid="{934A2614-2679-41E5-BF85-A6153A30E4DA}" uniqueName="18" name="Meal " queryTableFieldId="18" dataDxfId="3"/>
    <tableColumn id="19" xr3:uid="{4CEE2575-A71F-4CDB-99C0-69785FA9BE16}" uniqueName="19" name="Source" queryTableFieldId="19" dataDxfId="2"/>
    <tableColumn id="20" xr3:uid="{AF9C3592-23F1-4FC4-86A9-9237AE2A99BD}" uniqueName="20" name="Insurance" queryTableFieldId="20" dataDxfId="1"/>
    <tableColumn id="21" xr3:uid="{3FDB1665-7193-464F-8506-E3A3D51F0707}" uniqueName="21" name="GST" queryTableFieldId="21"/>
    <tableColumn id="22" xr3:uid="{5B62F767-A38A-4A0E-A683-3D2B84479F07}" uniqueName="22" name="Service Charge" queryTableFieldId="22"/>
    <tableColumn id="23" xr3:uid="{5B50887C-55C5-4290-86F1-E9407022678C}" uniqueName="23" name="Grand Total" queryTableFieldId="23"/>
    <tableColumn id="24" xr3:uid="{910380DC-34EB-4890-8DAA-61CE0CFD8751}" uniqueName="24" name="VIP Customer" queryTableFieldId="24" dataDxfId="0"/>
    <tableColumn id="25" xr3:uid="{990353B9-B7A8-4D9A-9141-C4918FD0FC75}" uniqueName="25" name="Loyalty Discount" queryTableFieldId="25"/>
    <tableColumn id="26" xr3:uid="{B38A73D4-5D82-40F6-854F-85F10EB1DD05}" uniqueName="26" name="Netpayable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F1CC4-D173-46A0-B637-1FC23BFDA0FE}">
  <dimension ref="A1:BC101"/>
  <sheetViews>
    <sheetView tabSelected="1" workbookViewId="0">
      <selection activeCell="AO18" sqref="AO18"/>
    </sheetView>
  </sheetViews>
  <sheetFormatPr defaultRowHeight="14.5" x14ac:dyDescent="0.35"/>
  <cols>
    <col min="1" max="1" width="11.90625" bestFit="1" customWidth="1"/>
    <col min="2" max="2" width="16.6328125" bestFit="1" customWidth="1"/>
    <col min="3" max="3" width="12.81640625" bestFit="1" customWidth="1"/>
    <col min="4" max="4" width="14.36328125" bestFit="1" customWidth="1"/>
    <col min="5" max="5" width="14" bestFit="1" customWidth="1"/>
    <col min="6" max="6" width="12.36328125" bestFit="1" customWidth="1"/>
    <col min="7" max="7" width="10.6328125" bestFit="1" customWidth="1"/>
    <col min="8" max="8" width="14.26953125" bestFit="1" customWidth="1"/>
    <col min="9" max="9" width="10.6328125" bestFit="1" customWidth="1"/>
    <col min="10" max="10" width="14.1796875" bestFit="1" customWidth="1"/>
    <col min="11" max="11" width="15.453125" bestFit="1" customWidth="1"/>
    <col min="12" max="12" width="15.54296875" bestFit="1" customWidth="1"/>
    <col min="13" max="13" width="14.453125" bestFit="1" customWidth="1"/>
    <col min="14" max="14" width="12.08984375" bestFit="1" customWidth="1"/>
    <col min="15" max="15" width="10.453125" bestFit="1" customWidth="1"/>
    <col min="16" max="16" width="10.7265625" bestFit="1" customWidth="1"/>
    <col min="17" max="17" width="5.453125" bestFit="1" customWidth="1"/>
    <col min="18" max="18" width="15" bestFit="1" customWidth="1"/>
    <col min="19" max="19" width="9.6328125" bestFit="1" customWidth="1"/>
    <col min="20" max="20" width="8.6328125" customWidth="1"/>
    <col min="21" max="21" width="8.453125" bestFit="1" customWidth="1"/>
    <col min="22" max="22" width="13.54296875" customWidth="1"/>
    <col min="23" max="23" width="10.453125" bestFit="1" customWidth="1"/>
    <col min="24" max="24" width="13.1796875" customWidth="1"/>
    <col min="25" max="25" width="8.90625" customWidth="1"/>
    <col min="26" max="26" width="10.453125" bestFit="1" customWidth="1"/>
    <col min="28" max="28" width="19.6328125" customWidth="1"/>
    <col min="29" max="29" width="16.7265625" customWidth="1"/>
    <col min="30" max="30" width="14.08984375" customWidth="1"/>
    <col min="32" max="32" width="11.6328125" customWidth="1"/>
    <col min="34" max="34" width="11.08984375" customWidth="1"/>
    <col min="35" max="35" width="13.08984375" customWidth="1"/>
    <col min="36" max="36" width="15.453125" customWidth="1"/>
  </cols>
  <sheetData>
    <row r="1" spans="1:5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255</v>
      </c>
      <c r="R1" t="s">
        <v>256</v>
      </c>
      <c r="S1" t="s">
        <v>257</v>
      </c>
      <c r="T1" t="s">
        <v>258</v>
      </c>
      <c r="U1" t="s">
        <v>259</v>
      </c>
      <c r="V1" t="s">
        <v>260</v>
      </c>
      <c r="W1" t="s">
        <v>261</v>
      </c>
      <c r="X1" t="s">
        <v>262</v>
      </c>
      <c r="Y1" t="s">
        <v>263</v>
      </c>
      <c r="Z1" t="s">
        <v>264</v>
      </c>
      <c r="AA1" s="6"/>
      <c r="AB1" s="5" t="s">
        <v>265</v>
      </c>
      <c r="AC1" s="5"/>
      <c r="AD1" s="5"/>
      <c r="AE1" s="5" t="s">
        <v>266</v>
      </c>
      <c r="AF1" s="5"/>
      <c r="AG1" s="5" t="s">
        <v>267</v>
      </c>
      <c r="AH1" s="5"/>
      <c r="AI1" s="5" t="s">
        <v>268</v>
      </c>
      <c r="AJ1" s="5"/>
      <c r="AK1" s="5" t="s">
        <v>269</v>
      </c>
      <c r="AL1" s="5" t="s">
        <v>270</v>
      </c>
      <c r="AM1" s="5"/>
      <c r="AN1" s="5"/>
      <c r="AO1" s="5" t="s">
        <v>271</v>
      </c>
      <c r="AP1" s="5"/>
      <c r="AQ1" s="5"/>
      <c r="AR1" s="5" t="s">
        <v>272</v>
      </c>
      <c r="AS1" s="5"/>
      <c r="AT1" s="5" t="s">
        <v>273</v>
      </c>
      <c r="AU1" s="5" t="s">
        <v>274</v>
      </c>
      <c r="AV1" s="5"/>
      <c r="AW1" s="5" t="s">
        <v>275</v>
      </c>
      <c r="AX1" s="5"/>
      <c r="AY1" s="5"/>
      <c r="AZ1" s="5"/>
      <c r="BA1" s="5" t="s">
        <v>276</v>
      </c>
      <c r="BB1" s="5"/>
      <c r="BC1" s="5"/>
    </row>
    <row r="2" spans="1:55" x14ac:dyDescent="0.35">
      <c r="A2" s="1" t="s">
        <v>16</v>
      </c>
      <c r="B2" s="1" t="s">
        <v>17</v>
      </c>
      <c r="C2" s="1" t="s">
        <v>18</v>
      </c>
      <c r="D2" s="1" t="s">
        <v>19</v>
      </c>
      <c r="E2" s="2">
        <v>46133</v>
      </c>
      <c r="F2" s="2">
        <v>46138</v>
      </c>
      <c r="G2">
        <v>2</v>
      </c>
      <c r="H2">
        <v>138902</v>
      </c>
      <c r="I2">
        <v>59845</v>
      </c>
      <c r="J2">
        <v>79057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>
        <v>3952.85</v>
      </c>
      <c r="V2">
        <v>1957</v>
      </c>
      <c r="W2">
        <v>84966.85</v>
      </c>
      <c r="X2" s="1" t="s">
        <v>29</v>
      </c>
      <c r="Y2">
        <v>681</v>
      </c>
      <c r="Z2">
        <v>84285.85</v>
      </c>
      <c r="AA2" s="6"/>
      <c r="AB2" s="4" t="str" cm="1">
        <f t="array" ref="AB2:AB101">IF(Travel_Tourism_Booking_100_Records[Destination]="Manali","Domestic Package","International Package")</f>
        <v>International Package</v>
      </c>
      <c r="AC2" s="4" t="str" cm="1">
        <f t="array" ref="AC2:AC101">IF(Travel_Tourism_Booking_100_Records[Package Cost]&gt;100000,"High Value","Normal Booking")</f>
        <v>High Value</v>
      </c>
      <c r="AD2" s="4" t="str" cm="1">
        <f t="array" ref="AD2:AD101">IF(Travel_Tourism_Booking_100_Records[Booking Status]="Confirmed","Confirmed","Not Confirmed ")</f>
        <v>Confirmed</v>
      </c>
      <c r="AE2" s="4" t="str" cm="1">
        <f t="array" ref="AE2:AE101">IF(Travel_Tourism_Booking_100_Records[Final Amount]&gt;=100000,"Platinum",IF(Travel_Tourism_Booking_100_Records[Final Amount]&gt;50000,"Gold",IF(Travel_Tourism_Booking_100_Records[Final Amount]&lt;49999,"Silver",IF(Travel_Tourism_Booking_100_Records[Final Amount]&lt;25000,"Bronze"))))</f>
        <v>Gold</v>
      </c>
      <c r="AF2" s="4" t="str" cm="1">
        <f t="array" ref="AF2:AF101">IF(Travel_Tourism_Booking_100_Records[Travelers]=1,"Solo",IF(Travel_Tourism_Booking_100_Records[Travelers]&lt;=4,"Small Group",IF(Travel_Tourism_Booking_100_Records[Travelers]&lt;=10,"Family",IF(Travel_Tourism_Booking_100_Records[Travelers]&gt;10,"Large Group"))))</f>
        <v>Small Group</v>
      </c>
      <c r="AG2" s="4" t="str">
        <f>IF(AND(Travel_Tourism_Booking_100_Records[[#This Row],[Booking Status]]="Confirmed",Travel_Tourism_Booking_100_Records[[#This Row],[Travelers]]&gt;=4),"Eligible","Not")</f>
        <v>Not</v>
      </c>
      <c r="AH2" s="4" t="str">
        <f>IF(AND(Travel_Tourism_Booking_100_Records[[#This Row],[Final Amount]]&gt;=75000,Travel_Tourism_Booking_100_Records[[#This Row],[Payment Mode]]="Credit Card"),"Eligible","Not Eligible")</f>
        <v>Not Eligible</v>
      </c>
      <c r="AI2" s="4" t="str">
        <f>IF(OR(Travel_Tourism_Booking_100_Records[[#This Row],[Booking Status]]="Confirmed",Travel_Tourism_Booking_100_Records[[#This Row],[Final Amount]]&gt;=150000),"High Priority","Not")</f>
        <v>High Priority</v>
      </c>
      <c r="AJ2" s="4" t="str">
        <f>IF(OR(Travel_Tourism_Booking_100_Records[[#This Row],[Payment Mode]]="Credit Card",Travel_Tourism_Booking_100_Records[[#This Row],[Travelers]]&gt;6),"Repeat Customer","Not Repeat")</f>
        <v>Not Repeat</v>
      </c>
      <c r="AK2" s="4">
        <f>SUMIF(Travel_Tourism_Booking_100_Records[Booking Status],"Confirmed",Travel_Tourism_Booking_100_Records[Final Amount])</f>
        <v>583026</v>
      </c>
      <c r="AL2" s="4">
        <f>SUMIFS(Travel_Tourism_Booking_100_Records[Final Amount],Travel_Tourism_Booking_100_Records[Destination],"Manali",Travel_Tourism_Booking_100_Records[Booking Status],"Confirmed")</f>
        <v>-94003</v>
      </c>
      <c r="AM2" s="4">
        <f>SUMIFS(Travel_Tourism_Booking_100_Records[Package Cost],Travel_Tourism_Booking_100_Records[Package Type],"Adventure",Travel_Tourism_Booking_100_Records[City],"Delhi")</f>
        <v>134019</v>
      </c>
      <c r="AN2" s="4">
        <f>SUMIFS(Travel_Tourism_Booking_100_Records[Discount],Travel_Tourism_Booking_100_Records[Travel Agency],"Dream Holidays",Travel_Tourism_Booking_100_Records[Booking Status],"Confirmed")</f>
        <v>903385</v>
      </c>
      <c r="AO2" s="4">
        <f>COUNTIF(Travel_Tourism_Booking_100_Records[Booking Status],"Confirmed")</f>
        <v>46</v>
      </c>
      <c r="AP2" s="4">
        <f>COUNTIF(Travel_Tourism_Booking_100_Records[Destination],"Dubai")</f>
        <v>11</v>
      </c>
      <c r="AQ2" s="4">
        <f>COUNTIF(Travel_Tourism_Booking_100_Records[Payment Mode],"Credit Card")</f>
        <v>16</v>
      </c>
      <c r="AR2" s="4">
        <f>COUNTIFS(Travel_Tourism_Booking_100_Records[Booking Status],"Confirmed",Travel_Tourism_Booking_100_Records[Destination],"Dubai")</f>
        <v>4</v>
      </c>
      <c r="AS2" s="4">
        <f>COUNTIFS(Travel_Tourism_Booking_100_Records[Final Amount],"&gt;=75000",Travel_Tourism_Booking_100_Records[Travelers],"&gt;=4")</f>
        <v>8</v>
      </c>
      <c r="AT2" s="4">
        <f>AVERAGEIF(Travel_Tourism_Booking_100_Records[Booking Status],"Confirmed",Travel_Tourism_Booking_100_Records[Discount] )</f>
        <v>77063.369565217392</v>
      </c>
      <c r="AU2" s="4">
        <f>AVERAGEIFS(Travel_Tourism_Booking_100_Records[Final Amount],Travel_Tourism_Booking_100_Records[Booking Status],"Confirmed",Travel_Tourism_Booking_100_Records[City],"Mumbai")</f>
        <v>10058.799999999999</v>
      </c>
      <c r="AV2" s="4">
        <f>AVERAGEIFS(Travel_Tourism_Booking_100_Records[Discount],Travel_Tourism_Booking_100_Records[Travel Agency],"Sky Travels",Travel_Tourism_Booking_100_Records[Payment Mode],"Credit Card")</f>
        <v>74612.428571428565</v>
      </c>
      <c r="AW2" s="4" t="str">
        <f>VLOOKUP(A3,Travel_Tourism_Booking_100_Records[#All],2,FALSE)</f>
        <v>SnehaVerma</v>
      </c>
      <c r="AX2" s="4" t="str">
        <f>VLOOKUP(A14,Travel_Tourism_Booking_100_Records[#All],3,FALSE)</f>
        <v>Manali</v>
      </c>
      <c r="AY2" s="4" t="str">
        <f>VLOOKUP(A20,Travel_Tourism_Booking_100_Records[#All],4,FALSE)</f>
        <v>Solo</v>
      </c>
      <c r="AZ2" s="4">
        <f>VLOOKUP(A10,Travel_Tourism_Booking_100_Records[#All],10,FALSE)</f>
        <v>-60168</v>
      </c>
      <c r="BA2" s="4">
        <f>_xlfn.XLOOKUP(A6,Travel_Tourism_Booking_100_Records[Booking ID],Travel_Tourism_Booking_100_Records[Travel Date],"Not Found")</f>
        <v>46177</v>
      </c>
      <c r="BB2" s="4">
        <f>_xlfn.XLOOKUP(A8,Travel_Tourism_Booking_100_Records[Booking ID],Travel_Tourism_Booking_100_Records[Discount],"Not Found")</f>
        <v>120013</v>
      </c>
      <c r="BC2" s="4" t="str">
        <f>_xlfn.XLOOKUP(A10,Travel_Tourism_Booking_100_Records[Booking ID],Travel_Tourism_Booking_100_Records[Booking Status],"Not Found")</f>
        <v>Cancelled</v>
      </c>
    </row>
    <row r="3" spans="1:55" x14ac:dyDescent="0.35">
      <c r="A3" s="1" t="s">
        <v>30</v>
      </c>
      <c r="B3" s="1" t="s">
        <v>31</v>
      </c>
      <c r="C3" s="1" t="s">
        <v>32</v>
      </c>
      <c r="D3" s="1" t="s">
        <v>33</v>
      </c>
      <c r="E3" s="2">
        <v>46148</v>
      </c>
      <c r="F3" s="2">
        <v>46161</v>
      </c>
      <c r="G3">
        <v>5</v>
      </c>
      <c r="H3">
        <v>57854</v>
      </c>
      <c r="I3">
        <v>69675</v>
      </c>
      <c r="J3">
        <v>-11821</v>
      </c>
      <c r="K3" s="1" t="s">
        <v>34</v>
      </c>
      <c r="L3" s="1" t="s">
        <v>21</v>
      </c>
      <c r="M3" s="1" t="s">
        <v>35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40</v>
      </c>
      <c r="S3" s="1" t="s">
        <v>28</v>
      </c>
      <c r="T3" s="1" t="s">
        <v>29</v>
      </c>
      <c r="U3">
        <v>-591.04999999999995</v>
      </c>
      <c r="V3">
        <v>1632</v>
      </c>
      <c r="W3">
        <v>-10780.05</v>
      </c>
      <c r="X3" s="1" t="s">
        <v>41</v>
      </c>
      <c r="Y3">
        <v>0</v>
      </c>
      <c r="Z3">
        <v>84285.85</v>
      </c>
      <c r="AA3" s="6"/>
      <c r="AB3" s="4" t="str">
        <v>International Package</v>
      </c>
      <c r="AC3" s="4" t="str">
        <v>Normal Booking</v>
      </c>
      <c r="AD3" s="4" t="str">
        <v>Confirmed</v>
      </c>
      <c r="AE3" s="4" t="str">
        <v>Silver</v>
      </c>
      <c r="AF3" s="4" t="str">
        <v>Family</v>
      </c>
      <c r="AG3" s="4" t="str">
        <f>IF(AND(Travel_Tourism_Booking_100_Records[[#This Row],[Booking Status]]="Confirmed",Travel_Tourism_Booking_100_Records[[#This Row],[Travelers]]&gt;=4),"Eligible","Not")</f>
        <v>Eligible</v>
      </c>
      <c r="AH3" s="4" t="str">
        <f>IF(AND(Travel_Tourism_Booking_100_Records[[#This Row],[Final Amount]]&gt;=75000,Travel_Tourism_Booking_100_Records[[#This Row],[Payment Mode]]="Credit Card"),"Eligible","Not Eligible")</f>
        <v>Not Eligible</v>
      </c>
      <c r="AI3" s="4" t="str">
        <f>IF(OR(Travel_Tourism_Booking_100_Records[[#This Row],[Booking Status]]="Confirmed",Travel_Tourism_Booking_100_Records[[#This Row],[Final Amount]]&gt;=150000),"High Priority","Not")</f>
        <v>High Priority</v>
      </c>
      <c r="AJ3" s="4" t="str">
        <f>IF(OR(Travel_Tourism_Booking_100_Records[[#This Row],[Payment Mode]]="Credit Card",Travel_Tourism_Booking_100_Records[[#This Row],[Travelers]]&gt;6),"Repeat Customer","Not Repeat")</f>
        <v>Not Repeat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35">
      <c r="A4" s="1" t="s">
        <v>42</v>
      </c>
      <c r="B4" s="1" t="s">
        <v>43</v>
      </c>
      <c r="C4" s="1" t="s">
        <v>44</v>
      </c>
      <c r="D4" s="1" t="s">
        <v>45</v>
      </c>
      <c r="E4" s="2">
        <v>46122</v>
      </c>
      <c r="F4" s="2">
        <v>46177</v>
      </c>
      <c r="G4">
        <v>2</v>
      </c>
      <c r="H4">
        <v>146685</v>
      </c>
      <c r="I4">
        <v>15169</v>
      </c>
      <c r="J4">
        <v>131516</v>
      </c>
      <c r="K4" s="1" t="s">
        <v>20</v>
      </c>
      <c r="L4" s="1" t="s">
        <v>21</v>
      </c>
      <c r="M4" s="1" t="s">
        <v>46</v>
      </c>
      <c r="N4" s="1" t="s">
        <v>47</v>
      </c>
      <c r="O4" s="1" t="s">
        <v>48</v>
      </c>
      <c r="P4" s="1" t="s">
        <v>49</v>
      </c>
      <c r="Q4" s="1" t="s">
        <v>26</v>
      </c>
      <c r="R4" s="1" t="s">
        <v>40</v>
      </c>
      <c r="S4" s="1" t="s">
        <v>50</v>
      </c>
      <c r="T4" s="1" t="s">
        <v>29</v>
      </c>
      <c r="U4">
        <v>6575.8</v>
      </c>
      <c r="V4">
        <v>1984</v>
      </c>
      <c r="W4">
        <v>140075.79999999999</v>
      </c>
      <c r="X4" s="1" t="s">
        <v>29</v>
      </c>
      <c r="Y4">
        <v>2987</v>
      </c>
      <c r="Z4">
        <v>137088.79999999999</v>
      </c>
      <c r="AA4" s="6"/>
      <c r="AB4" s="4" t="str">
        <v>International Package</v>
      </c>
      <c r="AC4" s="4" t="str">
        <v>High Value</v>
      </c>
      <c r="AD4" s="4" t="str">
        <v>Confirmed</v>
      </c>
      <c r="AE4" s="4" t="str">
        <v>Platinum</v>
      </c>
      <c r="AF4" s="4" t="str">
        <v>Small Group</v>
      </c>
      <c r="AG4" s="4" t="str">
        <f>IF(AND(Travel_Tourism_Booking_100_Records[[#This Row],[Booking Status]]="Confirmed",Travel_Tourism_Booking_100_Records[[#This Row],[Travelers]]&gt;=4),"Eligible","Not")</f>
        <v>Not</v>
      </c>
      <c r="AH4" s="4" t="str">
        <f>IF(AND(Travel_Tourism_Booking_100_Records[[#This Row],[Final Amount]]&gt;=75000,Travel_Tourism_Booking_100_Records[[#This Row],[Payment Mode]]="Credit Card"),"Eligible","Not Eligible")</f>
        <v>Not Eligible</v>
      </c>
      <c r="AI4" s="4" t="str">
        <f>IF(OR(Travel_Tourism_Booking_100_Records[[#This Row],[Booking Status]]="Confirmed",Travel_Tourism_Booking_100_Records[[#This Row],[Final Amount]]&gt;=150000),"High Priority","Not")</f>
        <v>High Priority</v>
      </c>
      <c r="AJ4" s="4" t="str">
        <f>IF(OR(Travel_Tourism_Booking_100_Records[[#This Row],[Payment Mode]]="Credit Card",Travel_Tourism_Booking_100_Records[[#This Row],[Travelers]]&gt;6),"Repeat Customer","Not Repeat")</f>
        <v>Not Repeat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35">
      <c r="A5" s="1" t="s">
        <v>51</v>
      </c>
      <c r="B5" s="1" t="s">
        <v>52</v>
      </c>
      <c r="C5" s="1" t="s">
        <v>53</v>
      </c>
      <c r="D5" s="1" t="s">
        <v>19</v>
      </c>
      <c r="E5" s="2">
        <v>46030</v>
      </c>
      <c r="F5" s="2">
        <v>46055</v>
      </c>
      <c r="G5">
        <v>1</v>
      </c>
      <c r="H5">
        <v>132970</v>
      </c>
      <c r="I5">
        <v>85113</v>
      </c>
      <c r="J5">
        <v>47857</v>
      </c>
      <c r="K5" s="1" t="s">
        <v>54</v>
      </c>
      <c r="L5" s="1" t="s">
        <v>21</v>
      </c>
      <c r="M5" s="1" t="s">
        <v>22</v>
      </c>
      <c r="N5" s="1" t="s">
        <v>47</v>
      </c>
      <c r="O5" s="1" t="s">
        <v>55</v>
      </c>
      <c r="P5" s="1" t="s">
        <v>25</v>
      </c>
      <c r="Q5" s="1" t="s">
        <v>56</v>
      </c>
      <c r="R5" s="1" t="s">
        <v>57</v>
      </c>
      <c r="S5" s="1" t="s">
        <v>58</v>
      </c>
      <c r="T5" s="1" t="s">
        <v>41</v>
      </c>
      <c r="U5">
        <v>2392.85</v>
      </c>
      <c r="V5">
        <v>1070</v>
      </c>
      <c r="W5">
        <v>51319.85</v>
      </c>
      <c r="X5" s="1" t="s">
        <v>41</v>
      </c>
      <c r="Y5">
        <v>0</v>
      </c>
      <c r="Z5">
        <v>137088.79999999999</v>
      </c>
      <c r="AA5" s="6"/>
      <c r="AB5" s="4" t="str">
        <v>International Package</v>
      </c>
      <c r="AC5" s="4" t="str">
        <v>High Value</v>
      </c>
      <c r="AD5" s="4" t="str">
        <v>Confirmed</v>
      </c>
      <c r="AE5" s="4" t="str">
        <v>Silver</v>
      </c>
      <c r="AF5" s="4" t="str">
        <v>Solo</v>
      </c>
      <c r="AG5" s="4" t="str">
        <f>IF(AND(Travel_Tourism_Booking_100_Records[[#This Row],[Booking Status]]="Confirmed",Travel_Tourism_Booking_100_Records[[#This Row],[Travelers]]&gt;=4),"Eligible","Not")</f>
        <v>Not</v>
      </c>
      <c r="AH5" s="4" t="str">
        <f>IF(AND(Travel_Tourism_Booking_100_Records[[#This Row],[Final Amount]]&gt;=75000,Travel_Tourism_Booking_100_Records[[#This Row],[Payment Mode]]="Credit Card"),"Eligible","Not Eligible")</f>
        <v>Not Eligible</v>
      </c>
      <c r="AI5" s="4" t="str">
        <f>IF(OR(Travel_Tourism_Booking_100_Records[[#This Row],[Booking Status]]="Confirmed",Travel_Tourism_Booking_100_Records[[#This Row],[Final Amount]]&gt;=150000),"High Priority","Not")</f>
        <v>High Priority</v>
      </c>
      <c r="AJ5" s="4" t="str">
        <f>IF(OR(Travel_Tourism_Booking_100_Records[[#This Row],[Payment Mode]]="Credit Card",Travel_Tourism_Booking_100_Records[[#This Row],[Travelers]]&gt;6),"Repeat Customer","Not Repeat")</f>
        <v>Not Repeat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35">
      <c r="A6" s="1" t="s">
        <v>59</v>
      </c>
      <c r="B6" s="1" t="s">
        <v>60</v>
      </c>
      <c r="C6" s="1" t="s">
        <v>61</v>
      </c>
      <c r="D6" s="1" t="s">
        <v>45</v>
      </c>
      <c r="E6" s="2">
        <v>46162</v>
      </c>
      <c r="F6" s="2">
        <v>46177</v>
      </c>
      <c r="G6">
        <v>2</v>
      </c>
      <c r="H6">
        <v>137644</v>
      </c>
      <c r="I6">
        <v>15948</v>
      </c>
      <c r="J6">
        <v>121696</v>
      </c>
      <c r="K6" s="1" t="s">
        <v>54</v>
      </c>
      <c r="L6" s="1" t="s">
        <v>21</v>
      </c>
      <c r="M6" s="1" t="s">
        <v>22</v>
      </c>
      <c r="N6" s="1" t="s">
        <v>62</v>
      </c>
      <c r="O6" s="1" t="s">
        <v>63</v>
      </c>
      <c r="P6" s="1" t="s">
        <v>38</v>
      </c>
      <c r="Q6" s="1" t="s">
        <v>26</v>
      </c>
      <c r="R6" s="1" t="s">
        <v>27</v>
      </c>
      <c r="S6" s="1" t="s">
        <v>28</v>
      </c>
      <c r="T6" s="1" t="s">
        <v>29</v>
      </c>
      <c r="U6">
        <v>6084.8</v>
      </c>
      <c r="V6">
        <v>1825</v>
      </c>
      <c r="W6">
        <v>129605.8</v>
      </c>
      <c r="X6" s="1" t="s">
        <v>41</v>
      </c>
      <c r="Y6">
        <v>0</v>
      </c>
      <c r="Z6">
        <v>137088.79999999999</v>
      </c>
      <c r="AA6" s="6"/>
      <c r="AB6" s="4" t="str">
        <v>International Package</v>
      </c>
      <c r="AC6" s="4" t="str">
        <v>High Value</v>
      </c>
      <c r="AD6" s="4" t="str">
        <v>Confirmed</v>
      </c>
      <c r="AE6" s="4" t="str">
        <v>Platinum</v>
      </c>
      <c r="AF6" s="4" t="str">
        <v>Small Group</v>
      </c>
      <c r="AG6" s="4" t="str">
        <f>IF(AND(Travel_Tourism_Booking_100_Records[[#This Row],[Booking Status]]="Confirmed",Travel_Tourism_Booking_100_Records[[#This Row],[Travelers]]&gt;=4),"Eligible","Not")</f>
        <v>Not</v>
      </c>
      <c r="AH6" s="4" t="str">
        <f>IF(AND(Travel_Tourism_Booking_100_Records[[#This Row],[Final Amount]]&gt;=75000,Travel_Tourism_Booking_100_Records[[#This Row],[Payment Mode]]="Credit Card"),"Eligible","Not Eligible")</f>
        <v>Not Eligible</v>
      </c>
      <c r="AI6" s="4" t="str">
        <f>IF(OR(Travel_Tourism_Booking_100_Records[[#This Row],[Booking Status]]="Confirmed",Travel_Tourism_Booking_100_Records[[#This Row],[Final Amount]]&gt;=150000),"High Priority","Not")</f>
        <v>High Priority</v>
      </c>
      <c r="AJ6" s="4" t="str">
        <f>IF(OR(Travel_Tourism_Booking_100_Records[[#This Row],[Payment Mode]]="Credit Card",Travel_Tourism_Booking_100_Records[[#This Row],[Travelers]]&gt;6),"Repeat Customer","Not Repeat")</f>
        <v>Not Repeat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35">
      <c r="A7" s="1" t="s">
        <v>64</v>
      </c>
      <c r="B7" s="1" t="s">
        <v>65</v>
      </c>
      <c r="C7" s="1" t="s">
        <v>18</v>
      </c>
      <c r="D7" s="1" t="s">
        <v>19</v>
      </c>
      <c r="E7" s="2">
        <v>46118</v>
      </c>
      <c r="F7" s="2">
        <v>46144</v>
      </c>
      <c r="G7">
        <v>2</v>
      </c>
      <c r="H7">
        <v>42240</v>
      </c>
      <c r="I7">
        <v>41888</v>
      </c>
      <c r="J7">
        <v>352</v>
      </c>
      <c r="K7" s="1" t="s">
        <v>34</v>
      </c>
      <c r="L7" s="1" t="s">
        <v>66</v>
      </c>
      <c r="M7" s="1" t="s">
        <v>22</v>
      </c>
      <c r="N7" s="1" t="s">
        <v>67</v>
      </c>
      <c r="O7" s="1" t="s">
        <v>63</v>
      </c>
      <c r="P7" s="1" t="s">
        <v>38</v>
      </c>
      <c r="Q7" s="1" t="s">
        <v>39</v>
      </c>
      <c r="R7" s="1" t="s">
        <v>40</v>
      </c>
      <c r="S7" s="1" t="s">
        <v>50</v>
      </c>
      <c r="T7" s="1" t="s">
        <v>29</v>
      </c>
      <c r="U7">
        <v>17.600000000000001</v>
      </c>
      <c r="V7">
        <v>1761</v>
      </c>
      <c r="W7">
        <v>2130.6</v>
      </c>
      <c r="X7" s="1" t="s">
        <v>29</v>
      </c>
      <c r="Y7">
        <v>587</v>
      </c>
      <c r="Z7">
        <v>1543.6</v>
      </c>
      <c r="AA7" s="6"/>
      <c r="AB7" s="4" t="str">
        <v>International Package</v>
      </c>
      <c r="AC7" s="4" t="str">
        <v>Normal Booking</v>
      </c>
      <c r="AD7" s="4" t="str">
        <v xml:space="preserve">Not Confirmed </v>
      </c>
      <c r="AE7" s="4" t="str">
        <v>Silver</v>
      </c>
      <c r="AF7" s="4" t="str">
        <v>Small Group</v>
      </c>
      <c r="AG7" s="4" t="str">
        <f>IF(AND(Travel_Tourism_Booking_100_Records[[#This Row],[Booking Status]]="Confirmed",Travel_Tourism_Booking_100_Records[[#This Row],[Travelers]]&gt;=4),"Eligible","Not")</f>
        <v>Not</v>
      </c>
      <c r="AH7" s="4" t="str">
        <f>IF(AND(Travel_Tourism_Booking_100_Records[[#This Row],[Final Amount]]&gt;=75000,Travel_Tourism_Booking_100_Records[[#This Row],[Payment Mode]]="Credit Card"),"Eligible","Not Eligible")</f>
        <v>Not Eligible</v>
      </c>
      <c r="AI7" s="4" t="str">
        <f>IF(OR(Travel_Tourism_Booking_100_Records[[#This Row],[Booking Status]]="Confirmed",Travel_Tourism_Booking_100_Records[[#This Row],[Final Amount]]&gt;=150000),"High Priority","Not")</f>
        <v>Not</v>
      </c>
      <c r="AJ7" s="4" t="str">
        <f>IF(OR(Travel_Tourism_Booking_100_Records[[#This Row],[Payment Mode]]="Credit Card",Travel_Tourism_Booking_100_Records[[#This Row],[Travelers]]&gt;6),"Repeat Customer","Not Repeat")</f>
        <v>Not Repeat</v>
      </c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35">
      <c r="A8" s="1" t="s">
        <v>68</v>
      </c>
      <c r="B8" s="1" t="s">
        <v>69</v>
      </c>
      <c r="C8" s="1" t="s">
        <v>70</v>
      </c>
      <c r="D8" s="1" t="s">
        <v>71</v>
      </c>
      <c r="E8" s="2">
        <v>46136</v>
      </c>
      <c r="F8" s="2">
        <v>46147</v>
      </c>
      <c r="G8">
        <v>1</v>
      </c>
      <c r="H8">
        <v>122438</v>
      </c>
      <c r="I8">
        <v>120013</v>
      </c>
      <c r="J8">
        <v>2425</v>
      </c>
      <c r="K8" s="1" t="s">
        <v>54</v>
      </c>
      <c r="L8" s="1" t="s">
        <v>21</v>
      </c>
      <c r="M8" s="1" t="s">
        <v>72</v>
      </c>
      <c r="N8" s="1" t="s">
        <v>73</v>
      </c>
      <c r="O8" s="1" t="s">
        <v>74</v>
      </c>
      <c r="P8" s="1" t="s">
        <v>75</v>
      </c>
      <c r="Q8" s="1" t="s">
        <v>26</v>
      </c>
      <c r="R8" s="1" t="s">
        <v>40</v>
      </c>
      <c r="S8" s="1" t="s">
        <v>76</v>
      </c>
      <c r="T8" s="1" t="s">
        <v>41</v>
      </c>
      <c r="U8">
        <v>121.25</v>
      </c>
      <c r="V8">
        <v>502</v>
      </c>
      <c r="W8">
        <v>3048.25</v>
      </c>
      <c r="X8" s="1" t="s">
        <v>41</v>
      </c>
      <c r="Y8">
        <v>0</v>
      </c>
      <c r="Z8">
        <v>1543.6</v>
      </c>
      <c r="AA8" s="6"/>
      <c r="AB8" s="4" t="str">
        <v>International Package</v>
      </c>
      <c r="AC8" s="4" t="str">
        <v>High Value</v>
      </c>
      <c r="AD8" s="4" t="str">
        <v>Confirmed</v>
      </c>
      <c r="AE8" s="4" t="str">
        <v>Silver</v>
      </c>
      <c r="AF8" s="4" t="str">
        <v>Solo</v>
      </c>
      <c r="AG8" s="4" t="str">
        <f>IF(AND(Travel_Tourism_Booking_100_Records[[#This Row],[Booking Status]]="Confirmed",Travel_Tourism_Booking_100_Records[[#This Row],[Travelers]]&gt;=4),"Eligible","Not")</f>
        <v>Not</v>
      </c>
      <c r="AH8" s="4" t="str">
        <f>IF(AND(Travel_Tourism_Booking_100_Records[[#This Row],[Final Amount]]&gt;=75000,Travel_Tourism_Booking_100_Records[[#This Row],[Payment Mode]]="Credit Card"),"Eligible","Not Eligible")</f>
        <v>Not Eligible</v>
      </c>
      <c r="AI8" s="4" t="str">
        <f>IF(OR(Travel_Tourism_Booking_100_Records[[#This Row],[Booking Status]]="Confirmed",Travel_Tourism_Booking_100_Records[[#This Row],[Final Amount]]&gt;=150000),"High Priority","Not")</f>
        <v>High Priority</v>
      </c>
      <c r="AJ8" s="4" t="str">
        <f>IF(OR(Travel_Tourism_Booking_100_Records[[#This Row],[Payment Mode]]="Credit Card",Travel_Tourism_Booking_100_Records[[#This Row],[Travelers]]&gt;6),"Repeat Customer","Not Repeat")</f>
        <v>Not Repeat</v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35">
      <c r="A9" s="1" t="s">
        <v>77</v>
      </c>
      <c r="B9" s="1" t="s">
        <v>78</v>
      </c>
      <c r="C9" s="1" t="s">
        <v>61</v>
      </c>
      <c r="D9" s="1" t="s">
        <v>33</v>
      </c>
      <c r="E9" s="2">
        <v>46094</v>
      </c>
      <c r="F9" s="2">
        <v>46130</v>
      </c>
      <c r="G9">
        <v>5</v>
      </c>
      <c r="H9">
        <v>121768</v>
      </c>
      <c r="I9">
        <v>59734</v>
      </c>
      <c r="J9">
        <v>62034</v>
      </c>
      <c r="K9" s="1" t="s">
        <v>79</v>
      </c>
      <c r="L9" s="1" t="s">
        <v>21</v>
      </c>
      <c r="M9" s="1" t="s">
        <v>46</v>
      </c>
      <c r="N9" s="1" t="s">
        <v>36</v>
      </c>
      <c r="O9" s="1" t="s">
        <v>55</v>
      </c>
      <c r="P9" s="1" t="s">
        <v>49</v>
      </c>
      <c r="Q9" s="1" t="s">
        <v>56</v>
      </c>
      <c r="R9" s="1" t="s">
        <v>27</v>
      </c>
      <c r="S9" s="1" t="s">
        <v>28</v>
      </c>
      <c r="T9" s="1" t="s">
        <v>41</v>
      </c>
      <c r="U9">
        <v>3101.7</v>
      </c>
      <c r="V9">
        <v>2019</v>
      </c>
      <c r="W9">
        <v>67154.7</v>
      </c>
      <c r="X9" s="1" t="s">
        <v>29</v>
      </c>
      <c r="Y9">
        <v>2189</v>
      </c>
      <c r="Z9">
        <v>64965.7</v>
      </c>
      <c r="AA9" s="6"/>
      <c r="AB9" s="4" t="str">
        <v>International Package</v>
      </c>
      <c r="AC9" s="4" t="str">
        <v>High Value</v>
      </c>
      <c r="AD9" s="4" t="str">
        <v>Confirmed</v>
      </c>
      <c r="AE9" s="4" t="str">
        <v>Gold</v>
      </c>
      <c r="AF9" s="4" t="str">
        <v>Family</v>
      </c>
      <c r="AG9" s="4" t="str">
        <f>IF(AND(Travel_Tourism_Booking_100_Records[[#This Row],[Booking Status]]="Confirmed",Travel_Tourism_Booking_100_Records[[#This Row],[Travelers]]&gt;=4),"Eligible","Not")</f>
        <v>Eligible</v>
      </c>
      <c r="AH9" s="4" t="str">
        <f>IF(AND(Travel_Tourism_Booking_100_Records[[#This Row],[Final Amount]]&gt;=75000,Travel_Tourism_Booking_100_Records[[#This Row],[Payment Mode]]="Credit Card"),"Eligible","Not Eligible")</f>
        <v>Not Eligible</v>
      </c>
      <c r="AI9" s="4" t="str">
        <f>IF(OR(Travel_Tourism_Booking_100_Records[[#This Row],[Booking Status]]="Confirmed",Travel_Tourism_Booking_100_Records[[#This Row],[Final Amount]]&gt;=150000),"High Priority","Not")</f>
        <v>High Priority</v>
      </c>
      <c r="AJ9" s="4" t="str">
        <f>IF(OR(Travel_Tourism_Booking_100_Records[[#This Row],[Payment Mode]]="Credit Card",Travel_Tourism_Booking_100_Records[[#This Row],[Travelers]]&gt;6),"Repeat Customer","Not Repeat")</f>
        <v>Not Repeat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35">
      <c r="A10" s="1" t="s">
        <v>80</v>
      </c>
      <c r="B10" s="1" t="s">
        <v>81</v>
      </c>
      <c r="C10" s="1" t="s">
        <v>18</v>
      </c>
      <c r="D10" s="1" t="s">
        <v>19</v>
      </c>
      <c r="E10" s="2">
        <v>46116</v>
      </c>
      <c r="F10" s="2">
        <v>46138</v>
      </c>
      <c r="G10">
        <v>5</v>
      </c>
      <c r="H10">
        <v>44028</v>
      </c>
      <c r="I10">
        <v>104196</v>
      </c>
      <c r="J10">
        <v>-60168</v>
      </c>
      <c r="K10" s="1" t="s">
        <v>20</v>
      </c>
      <c r="L10" s="1" t="s">
        <v>82</v>
      </c>
      <c r="M10" s="1" t="s">
        <v>35</v>
      </c>
      <c r="N10" s="1" t="s">
        <v>23</v>
      </c>
      <c r="O10" s="1" t="s">
        <v>63</v>
      </c>
      <c r="P10" s="1" t="s">
        <v>38</v>
      </c>
      <c r="Q10" s="1" t="s">
        <v>26</v>
      </c>
      <c r="R10" s="1" t="s">
        <v>40</v>
      </c>
      <c r="S10" s="1" t="s">
        <v>76</v>
      </c>
      <c r="T10" s="1" t="s">
        <v>41</v>
      </c>
      <c r="U10">
        <v>-3008.4</v>
      </c>
      <c r="V10">
        <v>2123</v>
      </c>
      <c r="W10">
        <v>-61053.4</v>
      </c>
      <c r="X10" s="1" t="s">
        <v>29</v>
      </c>
      <c r="Y10">
        <v>1105</v>
      </c>
      <c r="Z10">
        <v>-62158.400000000001</v>
      </c>
      <c r="AA10" s="6"/>
      <c r="AB10" s="4" t="str">
        <v>International Package</v>
      </c>
      <c r="AC10" s="4" t="str">
        <v>Normal Booking</v>
      </c>
      <c r="AD10" s="4" t="str">
        <v xml:space="preserve">Not Confirmed </v>
      </c>
      <c r="AE10" s="4" t="str">
        <v>Silver</v>
      </c>
      <c r="AF10" s="4" t="str">
        <v>Family</v>
      </c>
      <c r="AG10" s="4" t="str">
        <f>IF(AND(Travel_Tourism_Booking_100_Records[[#This Row],[Booking Status]]="Confirmed",Travel_Tourism_Booking_100_Records[[#This Row],[Travelers]]&gt;=4),"Eligible","Not")</f>
        <v>Not</v>
      </c>
      <c r="AH10" s="4" t="str">
        <f>IF(AND(Travel_Tourism_Booking_100_Records[[#This Row],[Final Amount]]&gt;=75000,Travel_Tourism_Booking_100_Records[[#This Row],[Payment Mode]]="Credit Card"),"Eligible","Not Eligible")</f>
        <v>Not Eligible</v>
      </c>
      <c r="AI10" s="4" t="str">
        <f>IF(OR(Travel_Tourism_Booking_100_Records[[#This Row],[Booking Status]]="Confirmed",Travel_Tourism_Booking_100_Records[[#This Row],[Final Amount]]&gt;=150000),"High Priority","Not")</f>
        <v>Not</v>
      </c>
      <c r="AJ10" s="4" t="str">
        <f>IF(OR(Travel_Tourism_Booking_100_Records[[#This Row],[Payment Mode]]="Credit Card",Travel_Tourism_Booking_100_Records[[#This Row],[Travelers]]&gt;6),"Repeat Customer","Not Repeat")</f>
        <v>Not Repeat</v>
      </c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35">
      <c r="A11" s="1" t="s">
        <v>83</v>
      </c>
      <c r="B11" s="1" t="s">
        <v>84</v>
      </c>
      <c r="C11" s="1" t="s">
        <v>85</v>
      </c>
      <c r="D11" s="1" t="s">
        <v>71</v>
      </c>
      <c r="E11" s="2">
        <v>46179</v>
      </c>
      <c r="F11" s="2">
        <v>46225</v>
      </c>
      <c r="G11">
        <v>6</v>
      </c>
      <c r="H11">
        <v>32758</v>
      </c>
      <c r="I11">
        <v>99816</v>
      </c>
      <c r="J11">
        <v>-67058</v>
      </c>
      <c r="K11" s="1" t="s">
        <v>54</v>
      </c>
      <c r="L11" s="1" t="s">
        <v>82</v>
      </c>
      <c r="M11" s="1" t="s">
        <v>72</v>
      </c>
      <c r="N11" s="1" t="s">
        <v>62</v>
      </c>
      <c r="O11" s="1" t="s">
        <v>86</v>
      </c>
      <c r="P11" s="1" t="s">
        <v>75</v>
      </c>
      <c r="Q11" s="1" t="s">
        <v>26</v>
      </c>
      <c r="R11" s="1" t="s">
        <v>40</v>
      </c>
      <c r="S11" s="1" t="s">
        <v>28</v>
      </c>
      <c r="T11" s="1" t="s">
        <v>29</v>
      </c>
      <c r="U11">
        <v>-3352.9</v>
      </c>
      <c r="V11">
        <v>1900</v>
      </c>
      <c r="W11">
        <v>-68510.899999999994</v>
      </c>
      <c r="X11" s="1" t="s">
        <v>41</v>
      </c>
      <c r="Y11">
        <v>0</v>
      </c>
      <c r="Z11">
        <v>-62158.400000000001</v>
      </c>
      <c r="AA11" s="6"/>
      <c r="AB11" s="4" t="str">
        <v>International Package</v>
      </c>
      <c r="AC11" s="4" t="str">
        <v>Normal Booking</v>
      </c>
      <c r="AD11" s="4" t="str">
        <v xml:space="preserve">Not Confirmed </v>
      </c>
      <c r="AE11" s="4" t="str">
        <v>Silver</v>
      </c>
      <c r="AF11" s="4" t="str">
        <v>Family</v>
      </c>
      <c r="AG11" s="4" t="str">
        <f>IF(AND(Travel_Tourism_Booking_100_Records[[#This Row],[Booking Status]]="Confirmed",Travel_Tourism_Booking_100_Records[[#This Row],[Travelers]]&gt;=4),"Eligible","Not")</f>
        <v>Not</v>
      </c>
      <c r="AH11" s="4" t="str">
        <f>IF(AND(Travel_Tourism_Booking_100_Records[[#This Row],[Final Amount]]&gt;=75000,Travel_Tourism_Booking_100_Records[[#This Row],[Payment Mode]]="Credit Card"),"Eligible","Not Eligible")</f>
        <v>Not Eligible</v>
      </c>
      <c r="AI11" s="4" t="str">
        <f>IF(OR(Travel_Tourism_Booking_100_Records[[#This Row],[Booking Status]]="Confirmed",Travel_Tourism_Booking_100_Records[[#This Row],[Final Amount]]&gt;=150000),"High Priority","Not")</f>
        <v>Not</v>
      </c>
      <c r="AJ11" s="4" t="str">
        <f>IF(OR(Travel_Tourism_Booking_100_Records[[#This Row],[Payment Mode]]="Credit Card",Travel_Tourism_Booking_100_Records[[#This Row],[Travelers]]&gt;6),"Repeat Customer","Not Repeat")</f>
        <v>Not Repeat</v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35">
      <c r="A12" s="1" t="s">
        <v>87</v>
      </c>
      <c r="B12" s="1" t="s">
        <v>88</v>
      </c>
      <c r="C12" s="1" t="s">
        <v>18</v>
      </c>
      <c r="D12" s="1" t="s">
        <v>71</v>
      </c>
      <c r="E12" s="2">
        <v>46088</v>
      </c>
      <c r="F12" s="2">
        <v>46101</v>
      </c>
      <c r="G12">
        <v>6</v>
      </c>
      <c r="H12">
        <v>111692</v>
      </c>
      <c r="I12">
        <v>14351</v>
      </c>
      <c r="J12">
        <v>97341</v>
      </c>
      <c r="K12" s="1" t="s">
        <v>34</v>
      </c>
      <c r="L12" s="1" t="s">
        <v>82</v>
      </c>
      <c r="M12" s="1" t="s">
        <v>22</v>
      </c>
      <c r="N12" s="1" t="s">
        <v>47</v>
      </c>
      <c r="O12" s="1" t="s">
        <v>24</v>
      </c>
      <c r="P12" s="1" t="s">
        <v>38</v>
      </c>
      <c r="Q12" s="1" t="s">
        <v>56</v>
      </c>
      <c r="R12" s="1" t="s">
        <v>57</v>
      </c>
      <c r="S12" s="1" t="s">
        <v>28</v>
      </c>
      <c r="T12" s="1" t="s">
        <v>41</v>
      </c>
      <c r="U12">
        <v>4867.05</v>
      </c>
      <c r="V12">
        <v>2830</v>
      </c>
      <c r="W12">
        <v>105038.05</v>
      </c>
      <c r="X12" s="1" t="s">
        <v>41</v>
      </c>
      <c r="Y12">
        <v>0</v>
      </c>
      <c r="Z12">
        <v>-62158.400000000001</v>
      </c>
      <c r="AA12" s="6"/>
      <c r="AB12" s="4" t="str">
        <v>International Package</v>
      </c>
      <c r="AC12" s="4" t="str">
        <v>High Value</v>
      </c>
      <c r="AD12" s="4" t="str">
        <v xml:space="preserve">Not Confirmed </v>
      </c>
      <c r="AE12" s="4" t="str">
        <v>Gold</v>
      </c>
      <c r="AF12" s="4" t="str">
        <v>Family</v>
      </c>
      <c r="AG12" s="4" t="str">
        <f>IF(AND(Travel_Tourism_Booking_100_Records[[#This Row],[Booking Status]]="Confirmed",Travel_Tourism_Booking_100_Records[[#This Row],[Travelers]]&gt;=4),"Eligible","Not")</f>
        <v>Not</v>
      </c>
      <c r="AH12" s="4" t="str">
        <f>IF(AND(Travel_Tourism_Booking_100_Records[[#This Row],[Final Amount]]&gt;=75000,Travel_Tourism_Booking_100_Records[[#This Row],[Payment Mode]]="Credit Card"),"Eligible","Not Eligible")</f>
        <v>Not Eligible</v>
      </c>
      <c r="AI12" s="4" t="str">
        <f>IF(OR(Travel_Tourism_Booking_100_Records[[#This Row],[Booking Status]]="Confirmed",Travel_Tourism_Booking_100_Records[[#This Row],[Final Amount]]&gt;=150000),"High Priority","Not")</f>
        <v>Not</v>
      </c>
      <c r="AJ12" s="4" t="str">
        <f>IF(OR(Travel_Tourism_Booking_100_Records[[#This Row],[Payment Mode]]="Credit Card",Travel_Tourism_Booking_100_Records[[#This Row],[Travelers]]&gt;6),"Repeat Customer","Not Repeat")</f>
        <v>Not Repeat</v>
      </c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35">
      <c r="A13" s="1" t="s">
        <v>89</v>
      </c>
      <c r="B13" s="1" t="s">
        <v>90</v>
      </c>
      <c r="C13" s="1" t="s">
        <v>44</v>
      </c>
      <c r="D13" s="1" t="s">
        <v>71</v>
      </c>
      <c r="E13" s="2">
        <v>46151</v>
      </c>
      <c r="F13" s="2">
        <v>46162</v>
      </c>
      <c r="G13">
        <v>1</v>
      </c>
      <c r="H13">
        <v>144850</v>
      </c>
      <c r="I13">
        <v>120514</v>
      </c>
      <c r="J13">
        <v>24336</v>
      </c>
      <c r="K13" s="1" t="s">
        <v>54</v>
      </c>
      <c r="L13" s="1" t="s">
        <v>21</v>
      </c>
      <c r="M13" s="1" t="s">
        <v>91</v>
      </c>
      <c r="N13" s="1" t="s">
        <v>62</v>
      </c>
      <c r="O13" s="1" t="s">
        <v>92</v>
      </c>
      <c r="P13" s="1" t="s">
        <v>75</v>
      </c>
      <c r="Q13" s="1" t="s">
        <v>56</v>
      </c>
      <c r="R13" s="1" t="s">
        <v>27</v>
      </c>
      <c r="S13" s="1" t="s">
        <v>28</v>
      </c>
      <c r="T13" s="1" t="s">
        <v>41</v>
      </c>
      <c r="U13">
        <v>1216.8</v>
      </c>
      <c r="V13">
        <v>1203</v>
      </c>
      <c r="W13">
        <v>26755.8</v>
      </c>
      <c r="X13" s="1" t="s">
        <v>29</v>
      </c>
      <c r="Y13">
        <v>634</v>
      </c>
      <c r="Z13">
        <v>26121.8</v>
      </c>
      <c r="AA13" s="6"/>
      <c r="AB13" s="4" t="str">
        <v>International Package</v>
      </c>
      <c r="AC13" s="4" t="str">
        <v>High Value</v>
      </c>
      <c r="AD13" s="4" t="str">
        <v>Confirmed</v>
      </c>
      <c r="AE13" s="4" t="str">
        <v>Silver</v>
      </c>
      <c r="AF13" s="4" t="str">
        <v>Solo</v>
      </c>
      <c r="AG13" s="4" t="str">
        <f>IF(AND(Travel_Tourism_Booking_100_Records[[#This Row],[Booking Status]]="Confirmed",Travel_Tourism_Booking_100_Records[[#This Row],[Travelers]]&gt;=4),"Eligible","Not")</f>
        <v>Not</v>
      </c>
      <c r="AH13" s="4" t="str">
        <f>IF(AND(Travel_Tourism_Booking_100_Records[[#This Row],[Final Amount]]&gt;=75000,Travel_Tourism_Booking_100_Records[[#This Row],[Payment Mode]]="Credit Card"),"Eligible","Not Eligible")</f>
        <v>Not Eligible</v>
      </c>
      <c r="AI13" s="4" t="str">
        <f>IF(OR(Travel_Tourism_Booking_100_Records[[#This Row],[Booking Status]]="Confirmed",Travel_Tourism_Booking_100_Records[[#This Row],[Final Amount]]&gt;=150000),"High Priority","Not")</f>
        <v>High Priority</v>
      </c>
      <c r="AJ13" s="4" t="str">
        <f>IF(OR(Travel_Tourism_Booking_100_Records[[#This Row],[Payment Mode]]="Credit Card",Travel_Tourism_Booking_100_Records[[#This Row],[Travelers]]&gt;6),"Repeat Customer","Not Repeat")</f>
        <v>Not Repeat</v>
      </c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35">
      <c r="A14" s="1" t="s">
        <v>93</v>
      </c>
      <c r="B14" s="1" t="s">
        <v>94</v>
      </c>
      <c r="C14" s="1" t="s">
        <v>95</v>
      </c>
      <c r="D14" s="1" t="s">
        <v>96</v>
      </c>
      <c r="E14" s="2">
        <v>46199</v>
      </c>
      <c r="F14" s="2">
        <v>46229</v>
      </c>
      <c r="G14">
        <v>5</v>
      </c>
      <c r="H14">
        <v>48591</v>
      </c>
      <c r="I14">
        <v>50579</v>
      </c>
      <c r="J14">
        <v>-1988</v>
      </c>
      <c r="K14" s="1" t="s">
        <v>79</v>
      </c>
      <c r="L14" s="1" t="s">
        <v>66</v>
      </c>
      <c r="M14" s="1" t="s">
        <v>46</v>
      </c>
      <c r="N14" s="1" t="s">
        <v>73</v>
      </c>
      <c r="O14" s="1" t="s">
        <v>92</v>
      </c>
      <c r="P14" s="1" t="s">
        <v>49</v>
      </c>
      <c r="Q14" s="1" t="s">
        <v>56</v>
      </c>
      <c r="R14" s="1" t="s">
        <v>57</v>
      </c>
      <c r="S14" s="1" t="s">
        <v>50</v>
      </c>
      <c r="T14" s="1" t="s">
        <v>29</v>
      </c>
      <c r="U14">
        <v>-99.4</v>
      </c>
      <c r="V14">
        <v>1061</v>
      </c>
      <c r="W14">
        <v>-1026.4000000000001</v>
      </c>
      <c r="X14" s="1" t="s">
        <v>29</v>
      </c>
      <c r="Y14">
        <v>867</v>
      </c>
      <c r="Z14">
        <v>-1893.4</v>
      </c>
      <c r="AA14" s="6"/>
      <c r="AB14" s="4" t="str">
        <v>Domestic Package</v>
      </c>
      <c r="AC14" s="4" t="str">
        <v>Normal Booking</v>
      </c>
      <c r="AD14" s="4" t="str">
        <v xml:space="preserve">Not Confirmed </v>
      </c>
      <c r="AE14" s="4" t="str">
        <v>Silver</v>
      </c>
      <c r="AF14" s="4" t="str">
        <v>Family</v>
      </c>
      <c r="AG14" s="4" t="str">
        <f>IF(AND(Travel_Tourism_Booking_100_Records[[#This Row],[Booking Status]]="Confirmed",Travel_Tourism_Booking_100_Records[[#This Row],[Travelers]]&gt;=4),"Eligible","Not")</f>
        <v>Not</v>
      </c>
      <c r="AH14" s="4" t="str">
        <f>IF(AND(Travel_Tourism_Booking_100_Records[[#This Row],[Final Amount]]&gt;=75000,Travel_Tourism_Booking_100_Records[[#This Row],[Payment Mode]]="Credit Card"),"Eligible","Not Eligible")</f>
        <v>Not Eligible</v>
      </c>
      <c r="AI14" s="4" t="str">
        <f>IF(OR(Travel_Tourism_Booking_100_Records[[#This Row],[Booking Status]]="Confirmed",Travel_Tourism_Booking_100_Records[[#This Row],[Final Amount]]&gt;=150000),"High Priority","Not")</f>
        <v>Not</v>
      </c>
      <c r="AJ14" s="4" t="str">
        <f>IF(OR(Travel_Tourism_Booking_100_Records[[#This Row],[Payment Mode]]="Credit Card",Travel_Tourism_Booking_100_Records[[#This Row],[Travelers]]&gt;6),"Repeat Customer","Not Repeat")</f>
        <v>Not Repeat</v>
      </c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35">
      <c r="A15" s="1" t="s">
        <v>97</v>
      </c>
      <c r="B15" s="1" t="s">
        <v>98</v>
      </c>
      <c r="C15" s="1" t="s">
        <v>18</v>
      </c>
      <c r="D15" s="1" t="s">
        <v>71</v>
      </c>
      <c r="E15" s="2">
        <v>46202</v>
      </c>
      <c r="F15" s="2">
        <v>46225</v>
      </c>
      <c r="G15">
        <v>4</v>
      </c>
      <c r="H15">
        <v>96931</v>
      </c>
      <c r="I15">
        <v>10530</v>
      </c>
      <c r="J15">
        <v>86401</v>
      </c>
      <c r="K15" s="1" t="s">
        <v>20</v>
      </c>
      <c r="L15" s="1" t="s">
        <v>82</v>
      </c>
      <c r="M15" s="1" t="s">
        <v>72</v>
      </c>
      <c r="N15" s="1" t="s">
        <v>73</v>
      </c>
      <c r="O15" s="1" t="s">
        <v>74</v>
      </c>
      <c r="P15" s="1" t="s">
        <v>38</v>
      </c>
      <c r="Q15" s="1" t="s">
        <v>26</v>
      </c>
      <c r="R15" s="1" t="s">
        <v>40</v>
      </c>
      <c r="S15" s="1" t="s">
        <v>76</v>
      </c>
      <c r="T15" s="1" t="s">
        <v>29</v>
      </c>
      <c r="U15">
        <v>4320.05</v>
      </c>
      <c r="V15">
        <v>896</v>
      </c>
      <c r="W15">
        <v>91617.05</v>
      </c>
      <c r="X15" s="1" t="s">
        <v>41</v>
      </c>
      <c r="Y15">
        <v>0</v>
      </c>
      <c r="Z15">
        <v>-1893.4</v>
      </c>
      <c r="AA15" s="6"/>
      <c r="AB15" s="4" t="str">
        <v>International Package</v>
      </c>
      <c r="AC15" s="4" t="str">
        <v>Normal Booking</v>
      </c>
      <c r="AD15" s="4" t="str">
        <v xml:space="preserve">Not Confirmed </v>
      </c>
      <c r="AE15" s="4" t="str">
        <v>Gold</v>
      </c>
      <c r="AF15" s="4" t="str">
        <v>Small Group</v>
      </c>
      <c r="AG15" s="4" t="str">
        <f>IF(AND(Travel_Tourism_Booking_100_Records[[#This Row],[Booking Status]]="Confirmed",Travel_Tourism_Booking_100_Records[[#This Row],[Travelers]]&gt;=4),"Eligible","Not")</f>
        <v>Not</v>
      </c>
      <c r="AH15" s="4" t="str">
        <f>IF(AND(Travel_Tourism_Booking_100_Records[[#This Row],[Final Amount]]&gt;=75000,Travel_Tourism_Booking_100_Records[[#This Row],[Payment Mode]]="Credit Card"),"Eligible","Not Eligible")</f>
        <v>Not Eligible</v>
      </c>
      <c r="AI15" s="4" t="str">
        <f>IF(OR(Travel_Tourism_Booking_100_Records[[#This Row],[Booking Status]]="Confirmed",Travel_Tourism_Booking_100_Records[[#This Row],[Final Amount]]&gt;=150000),"High Priority","Not")</f>
        <v>Not</v>
      </c>
      <c r="AJ15" s="4" t="str">
        <f>IF(OR(Travel_Tourism_Booking_100_Records[[#This Row],[Payment Mode]]="Credit Card",Travel_Tourism_Booking_100_Records[[#This Row],[Travelers]]&gt;6),"Repeat Customer","Not Repeat")</f>
        <v>Not Repeat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35">
      <c r="A16" s="1" t="s">
        <v>99</v>
      </c>
      <c r="B16" s="1" t="s">
        <v>100</v>
      </c>
      <c r="C16" s="1" t="s">
        <v>95</v>
      </c>
      <c r="D16" s="1" t="s">
        <v>45</v>
      </c>
      <c r="E16" s="2">
        <v>46033</v>
      </c>
      <c r="F16" s="2">
        <v>46056</v>
      </c>
      <c r="G16">
        <v>1</v>
      </c>
      <c r="H16">
        <v>70621</v>
      </c>
      <c r="I16">
        <v>68869</v>
      </c>
      <c r="J16">
        <v>1752</v>
      </c>
      <c r="K16" s="1" t="s">
        <v>79</v>
      </c>
      <c r="L16" s="1" t="s">
        <v>21</v>
      </c>
      <c r="M16" s="1" t="s">
        <v>22</v>
      </c>
      <c r="N16" s="1" t="s">
        <v>36</v>
      </c>
      <c r="O16" s="1" t="s">
        <v>37</v>
      </c>
      <c r="P16" s="1" t="s">
        <v>75</v>
      </c>
      <c r="Q16" s="1" t="s">
        <v>56</v>
      </c>
      <c r="R16" s="1" t="s">
        <v>27</v>
      </c>
      <c r="S16" s="1" t="s">
        <v>28</v>
      </c>
      <c r="T16" s="1" t="s">
        <v>41</v>
      </c>
      <c r="U16">
        <v>87.6</v>
      </c>
      <c r="V16">
        <v>973</v>
      </c>
      <c r="W16">
        <v>2812.6</v>
      </c>
      <c r="X16" s="1" t="s">
        <v>41</v>
      </c>
      <c r="Y16">
        <v>0</v>
      </c>
      <c r="Z16">
        <v>-1893.4</v>
      </c>
      <c r="AA16" s="6"/>
      <c r="AB16" s="4" t="str">
        <v>Domestic Package</v>
      </c>
      <c r="AC16" s="4" t="str">
        <v>Normal Booking</v>
      </c>
      <c r="AD16" s="4" t="str">
        <v>Confirmed</v>
      </c>
      <c r="AE16" s="4" t="str">
        <v>Silver</v>
      </c>
      <c r="AF16" s="4" t="str">
        <v>Solo</v>
      </c>
      <c r="AG16" s="4" t="str">
        <f>IF(AND(Travel_Tourism_Booking_100_Records[[#This Row],[Booking Status]]="Confirmed",Travel_Tourism_Booking_100_Records[[#This Row],[Travelers]]&gt;=4),"Eligible","Not")</f>
        <v>Not</v>
      </c>
      <c r="AH16" s="4" t="str">
        <f>IF(AND(Travel_Tourism_Booking_100_Records[[#This Row],[Final Amount]]&gt;=75000,Travel_Tourism_Booking_100_Records[[#This Row],[Payment Mode]]="Credit Card"),"Eligible","Not Eligible")</f>
        <v>Not Eligible</v>
      </c>
      <c r="AI16" s="4" t="str">
        <f>IF(OR(Travel_Tourism_Booking_100_Records[[#This Row],[Booking Status]]="Confirmed",Travel_Tourism_Booking_100_Records[[#This Row],[Final Amount]]&gt;=150000),"High Priority","Not")</f>
        <v>High Priority</v>
      </c>
      <c r="AJ16" s="4" t="str">
        <f>IF(OR(Travel_Tourism_Booking_100_Records[[#This Row],[Payment Mode]]="Credit Card",Travel_Tourism_Booking_100_Records[[#This Row],[Travelers]]&gt;6),"Repeat Customer","Not Repeat")</f>
        <v>Not Repeat</v>
      </c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35">
      <c r="A17" s="1" t="s">
        <v>101</v>
      </c>
      <c r="B17" s="1" t="s">
        <v>102</v>
      </c>
      <c r="C17" s="1" t="s">
        <v>103</v>
      </c>
      <c r="D17" s="1" t="s">
        <v>19</v>
      </c>
      <c r="E17" s="2">
        <v>46051</v>
      </c>
      <c r="F17" s="2">
        <v>46063</v>
      </c>
      <c r="G17">
        <v>3</v>
      </c>
      <c r="H17">
        <v>44409</v>
      </c>
      <c r="I17">
        <v>2727</v>
      </c>
      <c r="J17">
        <v>41682</v>
      </c>
      <c r="K17" s="1" t="s">
        <v>54</v>
      </c>
      <c r="L17" s="1" t="s">
        <v>21</v>
      </c>
      <c r="M17" s="1" t="s">
        <v>22</v>
      </c>
      <c r="N17" s="1" t="s">
        <v>36</v>
      </c>
      <c r="O17" s="1" t="s">
        <v>37</v>
      </c>
      <c r="P17" s="1" t="s">
        <v>49</v>
      </c>
      <c r="Q17" s="1" t="s">
        <v>39</v>
      </c>
      <c r="R17" s="1" t="s">
        <v>57</v>
      </c>
      <c r="S17" s="1" t="s">
        <v>58</v>
      </c>
      <c r="T17" s="1" t="s">
        <v>29</v>
      </c>
      <c r="U17">
        <v>2084.1</v>
      </c>
      <c r="V17">
        <v>2791</v>
      </c>
      <c r="W17">
        <v>46557.1</v>
      </c>
      <c r="X17" s="1" t="s">
        <v>41</v>
      </c>
      <c r="Y17">
        <v>0</v>
      </c>
      <c r="Z17">
        <v>-1893.4</v>
      </c>
      <c r="AA17" s="6"/>
      <c r="AB17" s="4" t="str">
        <v>International Package</v>
      </c>
      <c r="AC17" s="4" t="str">
        <v>Normal Booking</v>
      </c>
      <c r="AD17" s="4" t="str">
        <v>Confirmed</v>
      </c>
      <c r="AE17" s="4" t="str">
        <v>Silver</v>
      </c>
      <c r="AF17" s="4" t="str">
        <v>Small Group</v>
      </c>
      <c r="AG17" s="4" t="str">
        <f>IF(AND(Travel_Tourism_Booking_100_Records[[#This Row],[Booking Status]]="Confirmed",Travel_Tourism_Booking_100_Records[[#This Row],[Travelers]]&gt;=4),"Eligible","Not")</f>
        <v>Not</v>
      </c>
      <c r="AH17" s="4" t="str">
        <f>IF(AND(Travel_Tourism_Booking_100_Records[[#This Row],[Final Amount]]&gt;=75000,Travel_Tourism_Booking_100_Records[[#This Row],[Payment Mode]]="Credit Card"),"Eligible","Not Eligible")</f>
        <v>Not Eligible</v>
      </c>
      <c r="AI17" s="4" t="str">
        <f>IF(OR(Travel_Tourism_Booking_100_Records[[#This Row],[Booking Status]]="Confirmed",Travel_Tourism_Booking_100_Records[[#This Row],[Final Amount]]&gt;=150000),"High Priority","Not")</f>
        <v>High Priority</v>
      </c>
      <c r="AJ17" s="4" t="str">
        <f>IF(OR(Travel_Tourism_Booking_100_Records[[#This Row],[Payment Mode]]="Credit Card",Travel_Tourism_Booking_100_Records[[#This Row],[Travelers]]&gt;6),"Repeat Customer","Not Repeat")</f>
        <v>Not Repeat</v>
      </c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35">
      <c r="A18" s="1" t="s">
        <v>104</v>
      </c>
      <c r="B18" s="1" t="s">
        <v>84</v>
      </c>
      <c r="C18" s="1" t="s">
        <v>103</v>
      </c>
      <c r="D18" s="1" t="s">
        <v>33</v>
      </c>
      <c r="E18" s="2">
        <v>46172</v>
      </c>
      <c r="F18" s="2">
        <v>46205</v>
      </c>
      <c r="G18">
        <v>1</v>
      </c>
      <c r="H18">
        <v>31135</v>
      </c>
      <c r="I18">
        <v>67482</v>
      </c>
      <c r="J18">
        <v>-36347</v>
      </c>
      <c r="K18" s="1" t="s">
        <v>79</v>
      </c>
      <c r="L18" s="1" t="s">
        <v>82</v>
      </c>
      <c r="M18" s="1" t="s">
        <v>72</v>
      </c>
      <c r="N18" s="1" t="s">
        <v>105</v>
      </c>
      <c r="O18" s="1" t="s">
        <v>92</v>
      </c>
      <c r="P18" s="1" t="s">
        <v>49</v>
      </c>
      <c r="Q18" s="1" t="s">
        <v>39</v>
      </c>
      <c r="R18" s="1" t="s">
        <v>40</v>
      </c>
      <c r="S18" s="1" t="s">
        <v>76</v>
      </c>
      <c r="T18" s="1" t="s">
        <v>41</v>
      </c>
      <c r="U18">
        <v>-1817.35</v>
      </c>
      <c r="V18">
        <v>1366</v>
      </c>
      <c r="W18">
        <v>-36798.35</v>
      </c>
      <c r="X18" s="1" t="s">
        <v>41</v>
      </c>
      <c r="Y18">
        <v>0</v>
      </c>
      <c r="Z18">
        <v>-1893.4</v>
      </c>
      <c r="AA18" s="6"/>
      <c r="AB18" s="4" t="str">
        <v>International Package</v>
      </c>
      <c r="AC18" s="4" t="str">
        <v>Normal Booking</v>
      </c>
      <c r="AD18" s="4" t="str">
        <v xml:space="preserve">Not Confirmed </v>
      </c>
      <c r="AE18" s="4" t="str">
        <v>Silver</v>
      </c>
      <c r="AF18" s="4" t="str">
        <v>Solo</v>
      </c>
      <c r="AG18" s="4" t="str">
        <f>IF(AND(Travel_Tourism_Booking_100_Records[[#This Row],[Booking Status]]="Confirmed",Travel_Tourism_Booking_100_Records[[#This Row],[Travelers]]&gt;=4),"Eligible","Not")</f>
        <v>Not</v>
      </c>
      <c r="AH18" s="4" t="str">
        <f>IF(AND(Travel_Tourism_Booking_100_Records[[#This Row],[Final Amount]]&gt;=75000,Travel_Tourism_Booking_100_Records[[#This Row],[Payment Mode]]="Credit Card"),"Eligible","Not Eligible")</f>
        <v>Not Eligible</v>
      </c>
      <c r="AI18" s="4" t="str">
        <f>IF(OR(Travel_Tourism_Booking_100_Records[[#This Row],[Booking Status]]="Confirmed",Travel_Tourism_Booking_100_Records[[#This Row],[Final Amount]]&gt;=150000),"High Priority","Not")</f>
        <v>Not</v>
      </c>
      <c r="AJ18" s="4" t="str">
        <f>IF(OR(Travel_Tourism_Booking_100_Records[[#This Row],[Payment Mode]]="Credit Card",Travel_Tourism_Booking_100_Records[[#This Row],[Travelers]]&gt;6),"Repeat Customer","Not Repeat")</f>
        <v>Not Repeat</v>
      </c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35">
      <c r="A19" s="1" t="s">
        <v>106</v>
      </c>
      <c r="B19" s="1" t="s">
        <v>107</v>
      </c>
      <c r="C19" s="1" t="s">
        <v>103</v>
      </c>
      <c r="D19" s="1" t="s">
        <v>71</v>
      </c>
      <c r="E19" s="2">
        <v>46052</v>
      </c>
      <c r="F19" s="2">
        <v>46068</v>
      </c>
      <c r="G19">
        <v>2</v>
      </c>
      <c r="H19">
        <v>82236</v>
      </c>
      <c r="I19">
        <v>37179</v>
      </c>
      <c r="J19">
        <v>45057</v>
      </c>
      <c r="K19" s="1" t="s">
        <v>108</v>
      </c>
      <c r="L19" s="1" t="s">
        <v>21</v>
      </c>
      <c r="M19" s="1" t="s">
        <v>46</v>
      </c>
      <c r="N19" s="1" t="s">
        <v>73</v>
      </c>
      <c r="O19" s="1" t="s">
        <v>92</v>
      </c>
      <c r="P19" s="1" t="s">
        <v>75</v>
      </c>
      <c r="Q19" s="1" t="s">
        <v>39</v>
      </c>
      <c r="R19" s="1" t="s">
        <v>57</v>
      </c>
      <c r="S19" s="1" t="s">
        <v>76</v>
      </c>
      <c r="T19" s="1" t="s">
        <v>41</v>
      </c>
      <c r="U19">
        <v>2252.85</v>
      </c>
      <c r="V19">
        <v>984</v>
      </c>
      <c r="W19">
        <v>48293.85</v>
      </c>
      <c r="X19" s="1" t="s">
        <v>41</v>
      </c>
      <c r="Y19">
        <v>0</v>
      </c>
      <c r="Z19">
        <v>-1893.4</v>
      </c>
      <c r="AA19" s="6"/>
      <c r="AB19" s="4" t="str">
        <v>International Package</v>
      </c>
      <c r="AC19" s="4" t="str">
        <v>Normal Booking</v>
      </c>
      <c r="AD19" s="4" t="str">
        <v>Confirmed</v>
      </c>
      <c r="AE19" s="4" t="str">
        <v>Silver</v>
      </c>
      <c r="AF19" s="4" t="str">
        <v>Small Group</v>
      </c>
      <c r="AG19" s="4" t="str">
        <f>IF(AND(Travel_Tourism_Booking_100_Records[[#This Row],[Booking Status]]="Confirmed",Travel_Tourism_Booking_100_Records[[#This Row],[Travelers]]&gt;=4),"Eligible","Not")</f>
        <v>Not</v>
      </c>
      <c r="AH19" s="4" t="str">
        <f>IF(AND(Travel_Tourism_Booking_100_Records[[#This Row],[Final Amount]]&gt;=75000,Travel_Tourism_Booking_100_Records[[#This Row],[Payment Mode]]="Credit Card"),"Eligible","Not Eligible")</f>
        <v>Not Eligible</v>
      </c>
      <c r="AI19" s="4" t="str">
        <f>IF(OR(Travel_Tourism_Booking_100_Records[[#This Row],[Booking Status]]="Confirmed",Travel_Tourism_Booking_100_Records[[#This Row],[Final Amount]]&gt;=150000),"High Priority","Not")</f>
        <v>High Priority</v>
      </c>
      <c r="AJ19" s="4" t="str">
        <f>IF(OR(Travel_Tourism_Booking_100_Records[[#This Row],[Payment Mode]]="Credit Card",Travel_Tourism_Booking_100_Records[[#This Row],[Travelers]]&gt;6),"Repeat Customer","Not Repeat")</f>
        <v>Repeat Customer</v>
      </c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35">
      <c r="A20" s="1" t="s">
        <v>109</v>
      </c>
      <c r="B20" s="1" t="s">
        <v>110</v>
      </c>
      <c r="C20" s="1" t="s">
        <v>111</v>
      </c>
      <c r="D20" s="1" t="s">
        <v>33</v>
      </c>
      <c r="E20" s="2">
        <v>46033</v>
      </c>
      <c r="F20" s="2">
        <v>46067</v>
      </c>
      <c r="G20">
        <v>1</v>
      </c>
      <c r="H20">
        <v>114943</v>
      </c>
      <c r="I20">
        <v>10792</v>
      </c>
      <c r="J20">
        <v>104151</v>
      </c>
      <c r="K20" s="1" t="s">
        <v>20</v>
      </c>
      <c r="L20" s="1" t="s">
        <v>66</v>
      </c>
      <c r="M20" s="1" t="s">
        <v>46</v>
      </c>
      <c r="N20" s="1" t="s">
        <v>47</v>
      </c>
      <c r="O20" s="1" t="s">
        <v>74</v>
      </c>
      <c r="P20" s="1" t="s">
        <v>25</v>
      </c>
      <c r="Q20" s="1" t="s">
        <v>26</v>
      </c>
      <c r="R20" s="1" t="s">
        <v>27</v>
      </c>
      <c r="S20" s="1" t="s">
        <v>58</v>
      </c>
      <c r="T20" s="1" t="s">
        <v>41</v>
      </c>
      <c r="U20">
        <v>5207.55</v>
      </c>
      <c r="V20">
        <v>1167</v>
      </c>
      <c r="W20">
        <v>110525.55</v>
      </c>
      <c r="X20" s="1" t="s">
        <v>41</v>
      </c>
      <c r="Y20">
        <v>0</v>
      </c>
      <c r="Z20">
        <v>-1893.4</v>
      </c>
      <c r="AA20" s="6"/>
      <c r="AB20" s="4" t="str">
        <v>International Package</v>
      </c>
      <c r="AC20" s="4" t="str">
        <v>High Value</v>
      </c>
      <c r="AD20" s="4" t="str">
        <v xml:space="preserve">Not Confirmed </v>
      </c>
      <c r="AE20" s="4" t="str">
        <v>Platinum</v>
      </c>
      <c r="AF20" s="4" t="str">
        <v>Solo</v>
      </c>
      <c r="AG20" s="4" t="str">
        <f>IF(AND(Travel_Tourism_Booking_100_Records[[#This Row],[Booking Status]]="Confirmed",Travel_Tourism_Booking_100_Records[[#This Row],[Travelers]]&gt;=4),"Eligible","Not")</f>
        <v>Not</v>
      </c>
      <c r="AH20" s="4" t="str">
        <f>IF(AND(Travel_Tourism_Booking_100_Records[[#This Row],[Final Amount]]&gt;=75000,Travel_Tourism_Booking_100_Records[[#This Row],[Payment Mode]]="Credit Card"),"Eligible","Not Eligible")</f>
        <v>Not Eligible</v>
      </c>
      <c r="AI20" s="4" t="str">
        <f>IF(OR(Travel_Tourism_Booking_100_Records[[#This Row],[Booking Status]]="Confirmed",Travel_Tourism_Booking_100_Records[[#This Row],[Final Amount]]&gt;=150000),"High Priority","Not")</f>
        <v>Not</v>
      </c>
      <c r="AJ20" s="4" t="str">
        <f>IF(OR(Travel_Tourism_Booking_100_Records[[#This Row],[Payment Mode]]="Credit Card",Travel_Tourism_Booking_100_Records[[#This Row],[Travelers]]&gt;6),"Repeat Customer","Not Repeat")</f>
        <v>Not Repeat</v>
      </c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35">
      <c r="A21" s="1" t="s">
        <v>112</v>
      </c>
      <c r="B21" s="1" t="s">
        <v>113</v>
      </c>
      <c r="C21" s="1" t="s">
        <v>111</v>
      </c>
      <c r="D21" s="1" t="s">
        <v>19</v>
      </c>
      <c r="E21" s="2">
        <v>46151</v>
      </c>
      <c r="F21" s="2">
        <v>46163</v>
      </c>
      <c r="G21">
        <v>5</v>
      </c>
      <c r="H21">
        <v>109352</v>
      </c>
      <c r="I21">
        <v>67535</v>
      </c>
      <c r="J21">
        <v>41817</v>
      </c>
      <c r="K21" s="1" t="s">
        <v>79</v>
      </c>
      <c r="L21" s="1" t="s">
        <v>21</v>
      </c>
      <c r="M21" s="1" t="s">
        <v>35</v>
      </c>
      <c r="N21" s="1" t="s">
        <v>36</v>
      </c>
      <c r="O21" s="1" t="s">
        <v>86</v>
      </c>
      <c r="P21" s="1" t="s">
        <v>49</v>
      </c>
      <c r="Q21" s="1" t="s">
        <v>56</v>
      </c>
      <c r="R21" s="1" t="s">
        <v>40</v>
      </c>
      <c r="S21" s="1" t="s">
        <v>50</v>
      </c>
      <c r="T21" s="1" t="s">
        <v>29</v>
      </c>
      <c r="U21">
        <v>2090.85</v>
      </c>
      <c r="V21">
        <v>1763</v>
      </c>
      <c r="W21">
        <v>45670.85</v>
      </c>
      <c r="X21" s="1" t="s">
        <v>41</v>
      </c>
      <c r="Y21">
        <v>0</v>
      </c>
      <c r="Z21">
        <v>-1893.4</v>
      </c>
      <c r="AA21" s="6"/>
      <c r="AB21" s="4" t="str">
        <v>International Package</v>
      </c>
      <c r="AC21" s="4" t="str">
        <v>High Value</v>
      </c>
      <c r="AD21" s="4" t="str">
        <v>Confirmed</v>
      </c>
      <c r="AE21" s="4" t="str">
        <v>Silver</v>
      </c>
      <c r="AF21" s="4" t="str">
        <v>Family</v>
      </c>
      <c r="AG21" s="4" t="str">
        <f>IF(AND(Travel_Tourism_Booking_100_Records[[#This Row],[Booking Status]]="Confirmed",Travel_Tourism_Booking_100_Records[[#This Row],[Travelers]]&gt;=4),"Eligible","Not")</f>
        <v>Eligible</v>
      </c>
      <c r="AH21" s="4" t="str">
        <f>IF(AND(Travel_Tourism_Booking_100_Records[[#This Row],[Final Amount]]&gt;=75000,Travel_Tourism_Booking_100_Records[[#This Row],[Payment Mode]]="Credit Card"),"Eligible","Not Eligible")</f>
        <v>Not Eligible</v>
      </c>
      <c r="AI21" s="4" t="str">
        <f>IF(OR(Travel_Tourism_Booking_100_Records[[#This Row],[Booking Status]]="Confirmed",Travel_Tourism_Booking_100_Records[[#This Row],[Final Amount]]&gt;=150000),"High Priority","Not")</f>
        <v>High Priority</v>
      </c>
      <c r="AJ21" s="4" t="str">
        <f>IF(OR(Travel_Tourism_Booking_100_Records[[#This Row],[Payment Mode]]="Credit Card",Travel_Tourism_Booking_100_Records[[#This Row],[Travelers]]&gt;6),"Repeat Customer","Not Repeat")</f>
        <v>Not Repeat</v>
      </c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35">
      <c r="A22" s="1" t="s">
        <v>114</v>
      </c>
      <c r="B22" s="1" t="s">
        <v>115</v>
      </c>
      <c r="C22" s="1" t="s">
        <v>32</v>
      </c>
      <c r="D22" s="1" t="s">
        <v>71</v>
      </c>
      <c r="E22" s="2">
        <v>46160</v>
      </c>
      <c r="F22" s="2">
        <v>46199</v>
      </c>
      <c r="G22">
        <v>4</v>
      </c>
      <c r="H22">
        <v>125084</v>
      </c>
      <c r="I22">
        <v>6822</v>
      </c>
      <c r="J22">
        <v>118262</v>
      </c>
      <c r="K22" s="1" t="s">
        <v>34</v>
      </c>
      <c r="L22" s="1" t="s">
        <v>82</v>
      </c>
      <c r="M22" s="1" t="s">
        <v>72</v>
      </c>
      <c r="N22" s="1" t="s">
        <v>105</v>
      </c>
      <c r="O22" s="1" t="s">
        <v>63</v>
      </c>
      <c r="P22" s="1" t="s">
        <v>25</v>
      </c>
      <c r="Q22" s="1" t="s">
        <v>56</v>
      </c>
      <c r="R22" s="1" t="s">
        <v>40</v>
      </c>
      <c r="S22" s="1" t="s">
        <v>58</v>
      </c>
      <c r="T22" s="1" t="s">
        <v>41</v>
      </c>
      <c r="U22">
        <v>5913.1</v>
      </c>
      <c r="V22">
        <v>2252</v>
      </c>
      <c r="W22">
        <v>126427.1</v>
      </c>
      <c r="X22" s="1" t="s">
        <v>29</v>
      </c>
      <c r="Y22">
        <v>1246</v>
      </c>
      <c r="Z22">
        <v>125181.1</v>
      </c>
      <c r="AA22" s="6"/>
      <c r="AB22" s="4" t="str">
        <v>International Package</v>
      </c>
      <c r="AC22" s="4" t="str">
        <v>High Value</v>
      </c>
      <c r="AD22" s="4" t="str">
        <v xml:space="preserve">Not Confirmed </v>
      </c>
      <c r="AE22" s="4" t="str">
        <v>Platinum</v>
      </c>
      <c r="AF22" s="4" t="str">
        <v>Small Group</v>
      </c>
      <c r="AG22" s="4" t="str">
        <f>IF(AND(Travel_Tourism_Booking_100_Records[[#This Row],[Booking Status]]="Confirmed",Travel_Tourism_Booking_100_Records[[#This Row],[Travelers]]&gt;=4),"Eligible","Not")</f>
        <v>Not</v>
      </c>
      <c r="AH22" s="4" t="str">
        <f>IF(AND(Travel_Tourism_Booking_100_Records[[#This Row],[Final Amount]]&gt;=75000,Travel_Tourism_Booking_100_Records[[#This Row],[Payment Mode]]="Credit Card"),"Eligible","Not Eligible")</f>
        <v>Not Eligible</v>
      </c>
      <c r="AI22" s="4" t="str">
        <f>IF(OR(Travel_Tourism_Booking_100_Records[[#This Row],[Booking Status]]="Confirmed",Travel_Tourism_Booking_100_Records[[#This Row],[Final Amount]]&gt;=150000),"High Priority","Not")</f>
        <v>Not</v>
      </c>
      <c r="AJ22" s="4" t="str">
        <f>IF(OR(Travel_Tourism_Booking_100_Records[[#This Row],[Payment Mode]]="Credit Card",Travel_Tourism_Booking_100_Records[[#This Row],[Travelers]]&gt;6),"Repeat Customer","Not Repeat")</f>
        <v>Not Repeat</v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35">
      <c r="A23" s="1" t="s">
        <v>116</v>
      </c>
      <c r="B23" s="1" t="s">
        <v>117</v>
      </c>
      <c r="C23" s="1" t="s">
        <v>44</v>
      </c>
      <c r="D23" s="1" t="s">
        <v>33</v>
      </c>
      <c r="E23" s="2">
        <v>46046</v>
      </c>
      <c r="F23" s="2">
        <v>46102</v>
      </c>
      <c r="G23">
        <v>5</v>
      </c>
      <c r="H23">
        <v>17208</v>
      </c>
      <c r="I23">
        <v>116809</v>
      </c>
      <c r="J23">
        <v>-99601</v>
      </c>
      <c r="K23" s="1" t="s">
        <v>54</v>
      </c>
      <c r="L23" s="1" t="s">
        <v>82</v>
      </c>
      <c r="M23" s="1" t="s">
        <v>46</v>
      </c>
      <c r="N23" s="1" t="s">
        <v>47</v>
      </c>
      <c r="O23" s="1" t="s">
        <v>63</v>
      </c>
      <c r="P23" s="1" t="s">
        <v>25</v>
      </c>
      <c r="Q23" s="1" t="s">
        <v>26</v>
      </c>
      <c r="R23" s="1" t="s">
        <v>57</v>
      </c>
      <c r="S23" s="1" t="s">
        <v>50</v>
      </c>
      <c r="T23" s="1" t="s">
        <v>29</v>
      </c>
      <c r="U23">
        <v>-4980.05</v>
      </c>
      <c r="V23">
        <v>1432</v>
      </c>
      <c r="W23">
        <v>-103149.05</v>
      </c>
      <c r="X23" s="1" t="s">
        <v>29</v>
      </c>
      <c r="Y23">
        <v>2048</v>
      </c>
      <c r="Z23">
        <v>-105197.05</v>
      </c>
      <c r="AA23" s="6"/>
      <c r="AB23" s="4" t="str">
        <v>International Package</v>
      </c>
      <c r="AC23" s="4" t="str">
        <v>Normal Booking</v>
      </c>
      <c r="AD23" s="4" t="str">
        <v xml:space="preserve">Not Confirmed </v>
      </c>
      <c r="AE23" s="4" t="str">
        <v>Silver</v>
      </c>
      <c r="AF23" s="4" t="str">
        <v>Family</v>
      </c>
      <c r="AG23" s="4" t="str">
        <f>IF(AND(Travel_Tourism_Booking_100_Records[[#This Row],[Booking Status]]="Confirmed",Travel_Tourism_Booking_100_Records[[#This Row],[Travelers]]&gt;=4),"Eligible","Not")</f>
        <v>Not</v>
      </c>
      <c r="AH23" s="4" t="str">
        <f>IF(AND(Travel_Tourism_Booking_100_Records[[#This Row],[Final Amount]]&gt;=75000,Travel_Tourism_Booking_100_Records[[#This Row],[Payment Mode]]="Credit Card"),"Eligible","Not Eligible")</f>
        <v>Not Eligible</v>
      </c>
      <c r="AI23" s="4" t="str">
        <f>IF(OR(Travel_Tourism_Booking_100_Records[[#This Row],[Booking Status]]="Confirmed",Travel_Tourism_Booking_100_Records[[#This Row],[Final Amount]]&gt;=150000),"High Priority","Not")</f>
        <v>Not</v>
      </c>
      <c r="AJ23" s="4" t="str">
        <f>IF(OR(Travel_Tourism_Booking_100_Records[[#This Row],[Payment Mode]]="Credit Card",Travel_Tourism_Booking_100_Records[[#This Row],[Travelers]]&gt;6),"Repeat Customer","Not Repeat")</f>
        <v>Not Repeat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35">
      <c r="A24" s="1" t="s">
        <v>118</v>
      </c>
      <c r="B24" s="1" t="s">
        <v>119</v>
      </c>
      <c r="C24" s="1" t="s">
        <v>95</v>
      </c>
      <c r="D24" s="1" t="s">
        <v>33</v>
      </c>
      <c r="E24" s="2">
        <v>46186</v>
      </c>
      <c r="F24" s="2">
        <v>46232</v>
      </c>
      <c r="G24">
        <v>6</v>
      </c>
      <c r="H24">
        <v>60320</v>
      </c>
      <c r="I24">
        <v>60759</v>
      </c>
      <c r="J24">
        <v>-439</v>
      </c>
      <c r="K24" s="1" t="s">
        <v>34</v>
      </c>
      <c r="L24" s="1" t="s">
        <v>21</v>
      </c>
      <c r="M24" s="1" t="s">
        <v>22</v>
      </c>
      <c r="N24" s="1" t="s">
        <v>36</v>
      </c>
      <c r="O24" s="1" t="s">
        <v>24</v>
      </c>
      <c r="P24" s="1" t="s">
        <v>75</v>
      </c>
      <c r="Q24" s="1" t="s">
        <v>39</v>
      </c>
      <c r="R24" s="1" t="s">
        <v>40</v>
      </c>
      <c r="S24" s="1" t="s">
        <v>76</v>
      </c>
      <c r="T24" s="1" t="s">
        <v>29</v>
      </c>
      <c r="U24">
        <v>-21.95</v>
      </c>
      <c r="V24">
        <v>2794</v>
      </c>
      <c r="W24">
        <v>2333.0500000000002</v>
      </c>
      <c r="X24" s="1" t="s">
        <v>41</v>
      </c>
      <c r="Y24">
        <v>0</v>
      </c>
      <c r="Z24">
        <v>-105197.05</v>
      </c>
      <c r="AA24" s="6"/>
      <c r="AB24" s="4" t="str">
        <v>Domestic Package</v>
      </c>
      <c r="AC24" s="4" t="str">
        <v>Normal Booking</v>
      </c>
      <c r="AD24" s="4" t="str">
        <v>Confirmed</v>
      </c>
      <c r="AE24" s="4" t="str">
        <v>Silver</v>
      </c>
      <c r="AF24" s="4" t="str">
        <v>Family</v>
      </c>
      <c r="AG24" s="4" t="str">
        <f>IF(AND(Travel_Tourism_Booking_100_Records[[#This Row],[Booking Status]]="Confirmed",Travel_Tourism_Booking_100_Records[[#This Row],[Travelers]]&gt;=4),"Eligible","Not")</f>
        <v>Eligible</v>
      </c>
      <c r="AH24" s="4" t="str">
        <f>IF(AND(Travel_Tourism_Booking_100_Records[[#This Row],[Final Amount]]&gt;=75000,Travel_Tourism_Booking_100_Records[[#This Row],[Payment Mode]]="Credit Card"),"Eligible","Not Eligible")</f>
        <v>Not Eligible</v>
      </c>
      <c r="AI24" s="4" t="str">
        <f>IF(OR(Travel_Tourism_Booking_100_Records[[#This Row],[Booking Status]]="Confirmed",Travel_Tourism_Booking_100_Records[[#This Row],[Final Amount]]&gt;=150000),"High Priority","Not")</f>
        <v>High Priority</v>
      </c>
      <c r="AJ24" s="4" t="str">
        <f>IF(OR(Travel_Tourism_Booking_100_Records[[#This Row],[Payment Mode]]="Credit Card",Travel_Tourism_Booking_100_Records[[#This Row],[Travelers]]&gt;6),"Repeat Customer","Not Repeat")</f>
        <v>Not Repeat</v>
      </c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35">
      <c r="A25" s="1" t="s">
        <v>120</v>
      </c>
      <c r="B25" s="1" t="s">
        <v>121</v>
      </c>
      <c r="C25" s="1" t="s">
        <v>70</v>
      </c>
      <c r="D25" s="1" t="s">
        <v>45</v>
      </c>
      <c r="E25" s="2">
        <v>46190</v>
      </c>
      <c r="F25" s="2">
        <v>46216</v>
      </c>
      <c r="G25">
        <v>1</v>
      </c>
      <c r="H25">
        <v>101175</v>
      </c>
      <c r="I25">
        <v>91092</v>
      </c>
      <c r="J25">
        <v>10083</v>
      </c>
      <c r="K25" s="1" t="s">
        <v>79</v>
      </c>
      <c r="L25" s="1" t="s">
        <v>82</v>
      </c>
      <c r="M25" s="1" t="s">
        <v>91</v>
      </c>
      <c r="N25" s="1" t="s">
        <v>73</v>
      </c>
      <c r="O25" s="1" t="s">
        <v>24</v>
      </c>
      <c r="P25" s="1" t="s">
        <v>49</v>
      </c>
      <c r="Q25" s="1" t="s">
        <v>56</v>
      </c>
      <c r="R25" s="1" t="s">
        <v>40</v>
      </c>
      <c r="S25" s="1" t="s">
        <v>58</v>
      </c>
      <c r="T25" s="1" t="s">
        <v>29</v>
      </c>
      <c r="U25">
        <v>504.15</v>
      </c>
      <c r="V25">
        <v>884</v>
      </c>
      <c r="W25">
        <v>11471.15</v>
      </c>
      <c r="X25" s="1" t="s">
        <v>41</v>
      </c>
      <c r="Y25">
        <v>0</v>
      </c>
      <c r="Z25">
        <v>-105197.05</v>
      </c>
      <c r="AA25" s="6"/>
      <c r="AB25" s="4" t="str">
        <v>International Package</v>
      </c>
      <c r="AC25" s="4" t="str">
        <v>High Value</v>
      </c>
      <c r="AD25" s="4" t="str">
        <v xml:space="preserve">Not Confirmed </v>
      </c>
      <c r="AE25" s="4" t="str">
        <v>Silver</v>
      </c>
      <c r="AF25" s="4" t="str">
        <v>Solo</v>
      </c>
      <c r="AG25" s="4" t="str">
        <f>IF(AND(Travel_Tourism_Booking_100_Records[[#This Row],[Booking Status]]="Confirmed",Travel_Tourism_Booking_100_Records[[#This Row],[Travelers]]&gt;=4),"Eligible","Not")</f>
        <v>Not</v>
      </c>
      <c r="AH25" s="4" t="str">
        <f>IF(AND(Travel_Tourism_Booking_100_Records[[#This Row],[Final Amount]]&gt;=75000,Travel_Tourism_Booking_100_Records[[#This Row],[Payment Mode]]="Credit Card"),"Eligible","Not Eligible")</f>
        <v>Not Eligible</v>
      </c>
      <c r="AI25" s="4" t="str">
        <f>IF(OR(Travel_Tourism_Booking_100_Records[[#This Row],[Booking Status]]="Confirmed",Travel_Tourism_Booking_100_Records[[#This Row],[Final Amount]]&gt;=150000),"High Priority","Not")</f>
        <v>Not</v>
      </c>
      <c r="AJ25" s="4" t="str">
        <f>IF(OR(Travel_Tourism_Booking_100_Records[[#This Row],[Payment Mode]]="Credit Card",Travel_Tourism_Booking_100_Records[[#This Row],[Travelers]]&gt;6),"Repeat Customer","Not Repeat")</f>
        <v>Not Repeat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35">
      <c r="A26" s="1" t="s">
        <v>122</v>
      </c>
      <c r="B26" s="1" t="s">
        <v>123</v>
      </c>
      <c r="C26" s="1" t="s">
        <v>85</v>
      </c>
      <c r="D26" s="1" t="s">
        <v>33</v>
      </c>
      <c r="E26" s="2">
        <v>46076</v>
      </c>
      <c r="F26" s="2">
        <v>46123</v>
      </c>
      <c r="G26">
        <v>5</v>
      </c>
      <c r="H26">
        <v>131377</v>
      </c>
      <c r="I26">
        <v>118268</v>
      </c>
      <c r="J26">
        <v>13109</v>
      </c>
      <c r="K26" s="1" t="s">
        <v>20</v>
      </c>
      <c r="L26" s="1" t="s">
        <v>66</v>
      </c>
      <c r="M26" s="1" t="s">
        <v>91</v>
      </c>
      <c r="N26" s="1" t="s">
        <v>105</v>
      </c>
      <c r="O26" s="1" t="s">
        <v>63</v>
      </c>
      <c r="P26" s="1" t="s">
        <v>49</v>
      </c>
      <c r="Q26" s="1" t="s">
        <v>26</v>
      </c>
      <c r="R26" s="1" t="s">
        <v>40</v>
      </c>
      <c r="S26" s="1" t="s">
        <v>76</v>
      </c>
      <c r="T26" s="1" t="s">
        <v>29</v>
      </c>
      <c r="U26">
        <v>655.45</v>
      </c>
      <c r="V26">
        <v>632</v>
      </c>
      <c r="W26">
        <v>14396.45</v>
      </c>
      <c r="X26" s="1" t="s">
        <v>29</v>
      </c>
      <c r="Y26">
        <v>1945</v>
      </c>
      <c r="Z26">
        <v>12451.45</v>
      </c>
      <c r="AA26" s="6"/>
      <c r="AB26" s="4" t="str">
        <v>International Package</v>
      </c>
      <c r="AC26" s="4" t="str">
        <v>High Value</v>
      </c>
      <c r="AD26" s="4" t="str">
        <v xml:space="preserve">Not Confirmed </v>
      </c>
      <c r="AE26" s="4" t="str">
        <v>Silver</v>
      </c>
      <c r="AF26" s="4" t="str">
        <v>Family</v>
      </c>
      <c r="AG26" s="4" t="str">
        <f>IF(AND(Travel_Tourism_Booking_100_Records[[#This Row],[Booking Status]]="Confirmed",Travel_Tourism_Booking_100_Records[[#This Row],[Travelers]]&gt;=4),"Eligible","Not")</f>
        <v>Not</v>
      </c>
      <c r="AH26" s="4" t="str">
        <f>IF(AND(Travel_Tourism_Booking_100_Records[[#This Row],[Final Amount]]&gt;=75000,Travel_Tourism_Booking_100_Records[[#This Row],[Payment Mode]]="Credit Card"),"Eligible","Not Eligible")</f>
        <v>Not Eligible</v>
      </c>
      <c r="AI26" s="4" t="str">
        <f>IF(OR(Travel_Tourism_Booking_100_Records[[#This Row],[Booking Status]]="Confirmed",Travel_Tourism_Booking_100_Records[[#This Row],[Final Amount]]&gt;=150000),"High Priority","Not")</f>
        <v>Not</v>
      </c>
      <c r="AJ26" s="4" t="str">
        <f>IF(OR(Travel_Tourism_Booking_100_Records[[#This Row],[Payment Mode]]="Credit Card",Travel_Tourism_Booking_100_Records[[#This Row],[Travelers]]&gt;6),"Repeat Customer","Not Repeat")</f>
        <v>Not Repeat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35">
      <c r="A27" s="1" t="s">
        <v>124</v>
      </c>
      <c r="B27" s="1" t="s">
        <v>125</v>
      </c>
      <c r="C27" s="1" t="s">
        <v>95</v>
      </c>
      <c r="D27" s="1" t="s">
        <v>19</v>
      </c>
      <c r="E27" s="2">
        <v>46047</v>
      </c>
      <c r="F27" s="2">
        <v>46095</v>
      </c>
      <c r="G27">
        <v>2</v>
      </c>
      <c r="H27">
        <v>114016</v>
      </c>
      <c r="I27">
        <v>82910</v>
      </c>
      <c r="J27">
        <v>31106</v>
      </c>
      <c r="K27" s="1" t="s">
        <v>79</v>
      </c>
      <c r="L27" s="1" t="s">
        <v>21</v>
      </c>
      <c r="M27" s="1" t="s">
        <v>91</v>
      </c>
      <c r="N27" s="1" t="s">
        <v>36</v>
      </c>
      <c r="O27" s="1" t="s">
        <v>63</v>
      </c>
      <c r="P27" s="1" t="s">
        <v>75</v>
      </c>
      <c r="Q27" s="1" t="s">
        <v>39</v>
      </c>
      <c r="R27" s="1" t="s">
        <v>40</v>
      </c>
      <c r="S27" s="1" t="s">
        <v>76</v>
      </c>
      <c r="T27" s="1" t="s">
        <v>29</v>
      </c>
      <c r="U27">
        <v>1555.3</v>
      </c>
      <c r="V27">
        <v>1550</v>
      </c>
      <c r="W27">
        <v>34211.300000000003</v>
      </c>
      <c r="X27" s="1" t="s">
        <v>29</v>
      </c>
      <c r="Y27">
        <v>2362</v>
      </c>
      <c r="Z27">
        <v>31849.300000000003</v>
      </c>
      <c r="AA27" s="6"/>
      <c r="AB27" s="4" t="str">
        <v>Domestic Package</v>
      </c>
      <c r="AC27" s="4" t="str">
        <v>High Value</v>
      </c>
      <c r="AD27" s="4" t="str">
        <v>Confirmed</v>
      </c>
      <c r="AE27" s="4" t="str">
        <v>Silver</v>
      </c>
      <c r="AF27" s="4" t="str">
        <v>Small Group</v>
      </c>
      <c r="AG27" s="4" t="str">
        <f>IF(AND(Travel_Tourism_Booking_100_Records[[#This Row],[Booking Status]]="Confirmed",Travel_Tourism_Booking_100_Records[[#This Row],[Travelers]]&gt;=4),"Eligible","Not")</f>
        <v>Not</v>
      </c>
      <c r="AH27" s="4" t="str">
        <f>IF(AND(Travel_Tourism_Booking_100_Records[[#This Row],[Final Amount]]&gt;=75000,Travel_Tourism_Booking_100_Records[[#This Row],[Payment Mode]]="Credit Card"),"Eligible","Not Eligible")</f>
        <v>Not Eligible</v>
      </c>
      <c r="AI27" s="4" t="str">
        <f>IF(OR(Travel_Tourism_Booking_100_Records[[#This Row],[Booking Status]]="Confirmed",Travel_Tourism_Booking_100_Records[[#This Row],[Final Amount]]&gt;=150000),"High Priority","Not")</f>
        <v>High Priority</v>
      </c>
      <c r="AJ27" s="4" t="str">
        <f>IF(OR(Travel_Tourism_Booking_100_Records[[#This Row],[Payment Mode]]="Credit Card",Travel_Tourism_Booking_100_Records[[#This Row],[Travelers]]&gt;6),"Repeat Customer","Not Repeat")</f>
        <v>Not Repeat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35">
      <c r="A28" s="1" t="s">
        <v>126</v>
      </c>
      <c r="B28" s="1" t="s">
        <v>127</v>
      </c>
      <c r="C28" s="1" t="s">
        <v>103</v>
      </c>
      <c r="D28" s="1" t="s">
        <v>45</v>
      </c>
      <c r="E28" s="2">
        <v>46149</v>
      </c>
      <c r="F28" s="2">
        <v>46173</v>
      </c>
      <c r="G28">
        <v>6</v>
      </c>
      <c r="H28">
        <v>26766</v>
      </c>
      <c r="I28">
        <v>128265</v>
      </c>
      <c r="J28">
        <v>-101499</v>
      </c>
      <c r="K28" s="1" t="s">
        <v>79</v>
      </c>
      <c r="L28" s="1" t="s">
        <v>21</v>
      </c>
      <c r="M28" s="1" t="s">
        <v>35</v>
      </c>
      <c r="N28" s="1" t="s">
        <v>23</v>
      </c>
      <c r="O28" s="1" t="s">
        <v>37</v>
      </c>
      <c r="P28" s="1" t="s">
        <v>49</v>
      </c>
      <c r="Q28" s="1" t="s">
        <v>56</v>
      </c>
      <c r="R28" s="1" t="s">
        <v>57</v>
      </c>
      <c r="S28" s="1" t="s">
        <v>58</v>
      </c>
      <c r="T28" s="1" t="s">
        <v>29</v>
      </c>
      <c r="U28">
        <v>-5074.95</v>
      </c>
      <c r="V28">
        <v>1705</v>
      </c>
      <c r="W28">
        <v>-104868.95</v>
      </c>
      <c r="X28" s="1" t="s">
        <v>41</v>
      </c>
      <c r="Y28">
        <v>0</v>
      </c>
      <c r="Z28">
        <v>31849.300000000003</v>
      </c>
      <c r="AA28" s="6"/>
      <c r="AB28" s="4" t="str">
        <v>International Package</v>
      </c>
      <c r="AC28" s="4" t="str">
        <v>Normal Booking</v>
      </c>
      <c r="AD28" s="4" t="str">
        <v>Confirmed</v>
      </c>
      <c r="AE28" s="4" t="str">
        <v>Silver</v>
      </c>
      <c r="AF28" s="4" t="str">
        <v>Family</v>
      </c>
      <c r="AG28" s="4" t="str">
        <f>IF(AND(Travel_Tourism_Booking_100_Records[[#This Row],[Booking Status]]="Confirmed",Travel_Tourism_Booking_100_Records[[#This Row],[Travelers]]&gt;=4),"Eligible","Not")</f>
        <v>Eligible</v>
      </c>
      <c r="AH28" s="4" t="str">
        <f>IF(AND(Travel_Tourism_Booking_100_Records[[#This Row],[Final Amount]]&gt;=75000,Travel_Tourism_Booking_100_Records[[#This Row],[Payment Mode]]="Credit Card"),"Eligible","Not Eligible")</f>
        <v>Not Eligible</v>
      </c>
      <c r="AI28" s="4" t="str">
        <f>IF(OR(Travel_Tourism_Booking_100_Records[[#This Row],[Booking Status]]="Confirmed",Travel_Tourism_Booking_100_Records[[#This Row],[Final Amount]]&gt;=150000),"High Priority","Not")</f>
        <v>High Priority</v>
      </c>
      <c r="AJ28" s="4" t="str">
        <f>IF(OR(Travel_Tourism_Booking_100_Records[[#This Row],[Payment Mode]]="Credit Card",Travel_Tourism_Booking_100_Records[[#This Row],[Travelers]]&gt;6),"Repeat Customer","Not Repeat")</f>
        <v>Not Repeat</v>
      </c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35">
      <c r="A29" s="1" t="s">
        <v>128</v>
      </c>
      <c r="B29" s="1" t="s">
        <v>110</v>
      </c>
      <c r="C29" s="1" t="s">
        <v>53</v>
      </c>
      <c r="D29" s="1" t="s">
        <v>33</v>
      </c>
      <c r="E29" s="2">
        <v>46048</v>
      </c>
      <c r="F29" s="2">
        <v>46062</v>
      </c>
      <c r="G29">
        <v>5</v>
      </c>
      <c r="H29">
        <v>61061</v>
      </c>
      <c r="I29">
        <v>139092</v>
      </c>
      <c r="J29">
        <v>-78031</v>
      </c>
      <c r="K29" s="1" t="s">
        <v>79</v>
      </c>
      <c r="L29" s="1" t="s">
        <v>66</v>
      </c>
      <c r="M29" s="1" t="s">
        <v>91</v>
      </c>
      <c r="N29" s="1" t="s">
        <v>62</v>
      </c>
      <c r="O29" s="1" t="s">
        <v>55</v>
      </c>
      <c r="P29" s="1" t="s">
        <v>25</v>
      </c>
      <c r="Q29" s="1" t="s">
        <v>39</v>
      </c>
      <c r="R29" s="1" t="s">
        <v>40</v>
      </c>
      <c r="S29" s="1" t="s">
        <v>50</v>
      </c>
      <c r="T29" s="1" t="s">
        <v>41</v>
      </c>
      <c r="U29">
        <v>-3901.55</v>
      </c>
      <c r="V29">
        <v>2950</v>
      </c>
      <c r="W29">
        <v>-78982.55</v>
      </c>
      <c r="X29" s="1" t="s">
        <v>41</v>
      </c>
      <c r="Y29">
        <v>0</v>
      </c>
      <c r="Z29">
        <v>31849.300000000003</v>
      </c>
      <c r="AA29" s="6"/>
      <c r="AB29" s="4" t="str">
        <v>International Package</v>
      </c>
      <c r="AC29" s="4" t="str">
        <v>Normal Booking</v>
      </c>
      <c r="AD29" s="4" t="str">
        <v xml:space="preserve">Not Confirmed </v>
      </c>
      <c r="AE29" s="4" t="str">
        <v>Silver</v>
      </c>
      <c r="AF29" s="4" t="str">
        <v>Family</v>
      </c>
      <c r="AG29" s="4" t="str">
        <f>IF(AND(Travel_Tourism_Booking_100_Records[[#This Row],[Booking Status]]="Confirmed",Travel_Tourism_Booking_100_Records[[#This Row],[Travelers]]&gt;=4),"Eligible","Not")</f>
        <v>Not</v>
      </c>
      <c r="AH29" s="4" t="str">
        <f>IF(AND(Travel_Tourism_Booking_100_Records[[#This Row],[Final Amount]]&gt;=75000,Travel_Tourism_Booking_100_Records[[#This Row],[Payment Mode]]="Credit Card"),"Eligible","Not Eligible")</f>
        <v>Not Eligible</v>
      </c>
      <c r="AI29" s="4" t="str">
        <f>IF(OR(Travel_Tourism_Booking_100_Records[[#This Row],[Booking Status]]="Confirmed",Travel_Tourism_Booking_100_Records[[#This Row],[Final Amount]]&gt;=150000),"High Priority","Not")</f>
        <v>Not</v>
      </c>
      <c r="AJ29" s="4" t="str">
        <f>IF(OR(Travel_Tourism_Booking_100_Records[[#This Row],[Payment Mode]]="Credit Card",Travel_Tourism_Booking_100_Records[[#This Row],[Travelers]]&gt;6),"Repeat Customer","Not Repeat")</f>
        <v>Not Repeat</v>
      </c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35">
      <c r="A30" s="1" t="s">
        <v>129</v>
      </c>
      <c r="B30" s="1" t="s">
        <v>130</v>
      </c>
      <c r="C30" s="1" t="s">
        <v>44</v>
      </c>
      <c r="D30" s="1" t="s">
        <v>71</v>
      </c>
      <c r="E30" s="2">
        <v>46119</v>
      </c>
      <c r="F30" s="2">
        <v>46130</v>
      </c>
      <c r="G30">
        <v>5</v>
      </c>
      <c r="H30">
        <v>69260</v>
      </c>
      <c r="I30">
        <v>109903</v>
      </c>
      <c r="J30">
        <v>-40643</v>
      </c>
      <c r="K30" s="1" t="s">
        <v>54</v>
      </c>
      <c r="L30" s="1" t="s">
        <v>21</v>
      </c>
      <c r="M30" s="1" t="s">
        <v>72</v>
      </c>
      <c r="N30" s="1" t="s">
        <v>67</v>
      </c>
      <c r="O30" s="1" t="s">
        <v>48</v>
      </c>
      <c r="P30" s="1" t="s">
        <v>25</v>
      </c>
      <c r="Q30" s="1" t="s">
        <v>39</v>
      </c>
      <c r="R30" s="1" t="s">
        <v>40</v>
      </c>
      <c r="S30" s="1" t="s">
        <v>50</v>
      </c>
      <c r="T30" s="1" t="s">
        <v>29</v>
      </c>
      <c r="U30">
        <v>-2032.15</v>
      </c>
      <c r="V30">
        <v>838</v>
      </c>
      <c r="W30">
        <v>-41837.15</v>
      </c>
      <c r="X30" s="1" t="s">
        <v>29</v>
      </c>
      <c r="Y30">
        <v>880</v>
      </c>
      <c r="Z30">
        <v>-42717.15</v>
      </c>
      <c r="AA30" s="6"/>
      <c r="AB30" s="4" t="str">
        <v>International Package</v>
      </c>
      <c r="AC30" s="4" t="str">
        <v>Normal Booking</v>
      </c>
      <c r="AD30" s="4" t="str">
        <v>Confirmed</v>
      </c>
      <c r="AE30" s="4" t="str">
        <v>Silver</v>
      </c>
      <c r="AF30" s="4" t="str">
        <v>Family</v>
      </c>
      <c r="AG30" s="4" t="str">
        <f>IF(AND(Travel_Tourism_Booking_100_Records[[#This Row],[Booking Status]]="Confirmed",Travel_Tourism_Booking_100_Records[[#This Row],[Travelers]]&gt;=4),"Eligible","Not")</f>
        <v>Eligible</v>
      </c>
      <c r="AH30" s="4" t="str">
        <f>IF(AND(Travel_Tourism_Booking_100_Records[[#This Row],[Final Amount]]&gt;=75000,Travel_Tourism_Booking_100_Records[[#This Row],[Payment Mode]]="Credit Card"),"Eligible","Not Eligible")</f>
        <v>Not Eligible</v>
      </c>
      <c r="AI30" s="4" t="str">
        <f>IF(OR(Travel_Tourism_Booking_100_Records[[#This Row],[Booking Status]]="Confirmed",Travel_Tourism_Booking_100_Records[[#This Row],[Final Amount]]&gt;=150000),"High Priority","Not")</f>
        <v>High Priority</v>
      </c>
      <c r="AJ30" s="4" t="str">
        <f>IF(OR(Travel_Tourism_Booking_100_Records[[#This Row],[Payment Mode]]="Credit Card",Travel_Tourism_Booking_100_Records[[#This Row],[Travelers]]&gt;6),"Repeat Customer","Not Repeat")</f>
        <v>Not Repeat</v>
      </c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35">
      <c r="A31" s="1" t="s">
        <v>131</v>
      </c>
      <c r="B31" s="1" t="s">
        <v>132</v>
      </c>
      <c r="C31" s="1" t="s">
        <v>70</v>
      </c>
      <c r="D31" s="1" t="s">
        <v>33</v>
      </c>
      <c r="E31" s="2">
        <v>46046</v>
      </c>
      <c r="F31" s="2">
        <v>46103</v>
      </c>
      <c r="G31">
        <v>2</v>
      </c>
      <c r="H31">
        <v>82395</v>
      </c>
      <c r="I31">
        <v>90612</v>
      </c>
      <c r="J31">
        <v>-8217</v>
      </c>
      <c r="K31" s="1" t="s">
        <v>54</v>
      </c>
      <c r="L31" s="1" t="s">
        <v>21</v>
      </c>
      <c r="M31" s="1" t="s">
        <v>72</v>
      </c>
      <c r="N31" s="1" t="s">
        <v>105</v>
      </c>
      <c r="O31" s="1" t="s">
        <v>48</v>
      </c>
      <c r="P31" s="1" t="s">
        <v>49</v>
      </c>
      <c r="Q31" s="1" t="s">
        <v>26</v>
      </c>
      <c r="R31" s="1" t="s">
        <v>27</v>
      </c>
      <c r="S31" s="1" t="s">
        <v>50</v>
      </c>
      <c r="T31" s="1" t="s">
        <v>41</v>
      </c>
      <c r="U31">
        <v>-410.85</v>
      </c>
      <c r="V31">
        <v>536</v>
      </c>
      <c r="W31">
        <v>-8091.85</v>
      </c>
      <c r="X31" s="1" t="s">
        <v>29</v>
      </c>
      <c r="Y31">
        <v>2113</v>
      </c>
      <c r="Z31">
        <v>-10204.85</v>
      </c>
      <c r="AA31" s="6"/>
      <c r="AB31" s="4" t="str">
        <v>International Package</v>
      </c>
      <c r="AC31" s="4" t="str">
        <v>Normal Booking</v>
      </c>
      <c r="AD31" s="4" t="str">
        <v>Confirmed</v>
      </c>
      <c r="AE31" s="4" t="str">
        <v>Silver</v>
      </c>
      <c r="AF31" s="4" t="str">
        <v>Small Group</v>
      </c>
      <c r="AG31" s="4" t="str">
        <f>IF(AND(Travel_Tourism_Booking_100_Records[[#This Row],[Booking Status]]="Confirmed",Travel_Tourism_Booking_100_Records[[#This Row],[Travelers]]&gt;=4),"Eligible","Not")</f>
        <v>Not</v>
      </c>
      <c r="AH31" s="4" t="str">
        <f>IF(AND(Travel_Tourism_Booking_100_Records[[#This Row],[Final Amount]]&gt;=75000,Travel_Tourism_Booking_100_Records[[#This Row],[Payment Mode]]="Credit Card"),"Eligible","Not Eligible")</f>
        <v>Not Eligible</v>
      </c>
      <c r="AI31" s="4" t="str">
        <f>IF(OR(Travel_Tourism_Booking_100_Records[[#This Row],[Booking Status]]="Confirmed",Travel_Tourism_Booking_100_Records[[#This Row],[Final Amount]]&gt;=150000),"High Priority","Not")</f>
        <v>High Priority</v>
      </c>
      <c r="AJ31" s="4" t="str">
        <f>IF(OR(Travel_Tourism_Booking_100_Records[[#This Row],[Payment Mode]]="Credit Card",Travel_Tourism_Booking_100_Records[[#This Row],[Travelers]]&gt;6),"Repeat Customer","Not Repeat")</f>
        <v>Not Repeat</v>
      </c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35">
      <c r="A32" s="1" t="s">
        <v>133</v>
      </c>
      <c r="B32" s="1" t="s">
        <v>134</v>
      </c>
      <c r="C32" s="1" t="s">
        <v>103</v>
      </c>
      <c r="D32" s="1" t="s">
        <v>33</v>
      </c>
      <c r="E32" s="2">
        <v>46088</v>
      </c>
      <c r="F32" s="2">
        <v>46099</v>
      </c>
      <c r="G32">
        <v>5</v>
      </c>
      <c r="H32">
        <v>88567</v>
      </c>
      <c r="I32">
        <v>101878</v>
      </c>
      <c r="J32">
        <v>-13311</v>
      </c>
      <c r="K32" s="1" t="s">
        <v>54</v>
      </c>
      <c r="L32" s="1" t="s">
        <v>21</v>
      </c>
      <c r="M32" s="1" t="s">
        <v>35</v>
      </c>
      <c r="N32" s="1" t="s">
        <v>105</v>
      </c>
      <c r="O32" s="1" t="s">
        <v>24</v>
      </c>
      <c r="P32" s="1" t="s">
        <v>38</v>
      </c>
      <c r="Q32" s="1" t="s">
        <v>56</v>
      </c>
      <c r="R32" s="1" t="s">
        <v>57</v>
      </c>
      <c r="S32" s="1" t="s">
        <v>58</v>
      </c>
      <c r="T32" s="1" t="s">
        <v>41</v>
      </c>
      <c r="U32">
        <v>-665.55</v>
      </c>
      <c r="V32">
        <v>1651</v>
      </c>
      <c r="W32">
        <v>-12325.55</v>
      </c>
      <c r="X32" s="1" t="s">
        <v>41</v>
      </c>
      <c r="Y32">
        <v>0</v>
      </c>
      <c r="Z32">
        <v>-10204.85</v>
      </c>
      <c r="AA32" s="6"/>
      <c r="AB32" s="4" t="str">
        <v>International Package</v>
      </c>
      <c r="AC32" s="4" t="str">
        <v>Normal Booking</v>
      </c>
      <c r="AD32" s="4" t="str">
        <v>Confirmed</v>
      </c>
      <c r="AE32" s="4" t="str">
        <v>Silver</v>
      </c>
      <c r="AF32" s="4" t="str">
        <v>Family</v>
      </c>
      <c r="AG32" s="4" t="str">
        <f>IF(AND(Travel_Tourism_Booking_100_Records[[#This Row],[Booking Status]]="Confirmed",Travel_Tourism_Booking_100_Records[[#This Row],[Travelers]]&gt;=4),"Eligible","Not")</f>
        <v>Eligible</v>
      </c>
      <c r="AH32" s="4" t="str">
        <f>IF(AND(Travel_Tourism_Booking_100_Records[[#This Row],[Final Amount]]&gt;=75000,Travel_Tourism_Booking_100_Records[[#This Row],[Payment Mode]]="Credit Card"),"Eligible","Not Eligible")</f>
        <v>Not Eligible</v>
      </c>
      <c r="AI32" s="4" t="str">
        <f>IF(OR(Travel_Tourism_Booking_100_Records[[#This Row],[Booking Status]]="Confirmed",Travel_Tourism_Booking_100_Records[[#This Row],[Final Amount]]&gt;=150000),"High Priority","Not")</f>
        <v>High Priority</v>
      </c>
      <c r="AJ32" s="4" t="str">
        <f>IF(OR(Travel_Tourism_Booking_100_Records[[#This Row],[Payment Mode]]="Credit Card",Travel_Tourism_Booking_100_Records[[#This Row],[Travelers]]&gt;6),"Repeat Customer","Not Repeat")</f>
        <v>Not Repeat</v>
      </c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35">
      <c r="A33" s="1" t="s">
        <v>135</v>
      </c>
      <c r="B33" s="1" t="s">
        <v>136</v>
      </c>
      <c r="C33" s="1" t="s">
        <v>44</v>
      </c>
      <c r="D33" s="1" t="s">
        <v>71</v>
      </c>
      <c r="E33" s="2">
        <v>46097</v>
      </c>
      <c r="F33" s="2">
        <v>46109</v>
      </c>
      <c r="G33">
        <v>3</v>
      </c>
      <c r="H33">
        <v>31701</v>
      </c>
      <c r="I33">
        <v>73959</v>
      </c>
      <c r="J33">
        <v>-42258</v>
      </c>
      <c r="K33" s="1" t="s">
        <v>79</v>
      </c>
      <c r="L33" s="1" t="s">
        <v>21</v>
      </c>
      <c r="M33" s="1" t="s">
        <v>91</v>
      </c>
      <c r="N33" s="1" t="s">
        <v>73</v>
      </c>
      <c r="O33" s="1" t="s">
        <v>74</v>
      </c>
      <c r="P33" s="1" t="s">
        <v>75</v>
      </c>
      <c r="Q33" s="1" t="s">
        <v>56</v>
      </c>
      <c r="R33" s="1" t="s">
        <v>40</v>
      </c>
      <c r="S33" s="1" t="s">
        <v>58</v>
      </c>
      <c r="T33" s="1" t="s">
        <v>29</v>
      </c>
      <c r="U33">
        <v>-2112.9</v>
      </c>
      <c r="V33">
        <v>785</v>
      </c>
      <c r="W33">
        <v>-43585.9</v>
      </c>
      <c r="X33" s="1" t="s">
        <v>41</v>
      </c>
      <c r="Y33">
        <v>0</v>
      </c>
      <c r="Z33">
        <v>-10204.85</v>
      </c>
      <c r="AA33" s="6"/>
      <c r="AB33" s="4" t="str">
        <v>International Package</v>
      </c>
      <c r="AC33" s="4" t="str">
        <v>Normal Booking</v>
      </c>
      <c r="AD33" s="4" t="str">
        <v>Confirmed</v>
      </c>
      <c r="AE33" s="4" t="str">
        <v>Silver</v>
      </c>
      <c r="AF33" s="4" t="str">
        <v>Small Group</v>
      </c>
      <c r="AG33" s="4" t="str">
        <f>IF(AND(Travel_Tourism_Booking_100_Records[[#This Row],[Booking Status]]="Confirmed",Travel_Tourism_Booking_100_Records[[#This Row],[Travelers]]&gt;=4),"Eligible","Not")</f>
        <v>Not</v>
      </c>
      <c r="AH33" s="4" t="str">
        <f>IF(AND(Travel_Tourism_Booking_100_Records[[#This Row],[Final Amount]]&gt;=75000,Travel_Tourism_Booking_100_Records[[#This Row],[Payment Mode]]="Credit Card"),"Eligible","Not Eligible")</f>
        <v>Not Eligible</v>
      </c>
      <c r="AI33" s="4" t="str">
        <f>IF(OR(Travel_Tourism_Booking_100_Records[[#This Row],[Booking Status]]="Confirmed",Travel_Tourism_Booking_100_Records[[#This Row],[Final Amount]]&gt;=150000),"High Priority","Not")</f>
        <v>High Priority</v>
      </c>
      <c r="AJ33" s="4" t="str">
        <f>IF(OR(Travel_Tourism_Booking_100_Records[[#This Row],[Payment Mode]]="Credit Card",Travel_Tourism_Booking_100_Records[[#This Row],[Travelers]]&gt;6),"Repeat Customer","Not Repeat")</f>
        <v>Not Repeat</v>
      </c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35">
      <c r="A34" s="1" t="s">
        <v>137</v>
      </c>
      <c r="B34" s="1" t="s">
        <v>138</v>
      </c>
      <c r="C34" s="1" t="s">
        <v>103</v>
      </c>
      <c r="D34" s="1" t="s">
        <v>71</v>
      </c>
      <c r="E34" s="2">
        <v>46091</v>
      </c>
      <c r="F34" s="2">
        <v>46135</v>
      </c>
      <c r="G34">
        <v>1</v>
      </c>
      <c r="H34">
        <v>117332</v>
      </c>
      <c r="I34">
        <v>64338</v>
      </c>
      <c r="J34">
        <v>52994</v>
      </c>
      <c r="K34" s="1" t="s">
        <v>34</v>
      </c>
      <c r="L34" s="1" t="s">
        <v>82</v>
      </c>
      <c r="M34" s="1" t="s">
        <v>46</v>
      </c>
      <c r="N34" s="1" t="s">
        <v>23</v>
      </c>
      <c r="O34" s="1" t="s">
        <v>92</v>
      </c>
      <c r="P34" s="1" t="s">
        <v>25</v>
      </c>
      <c r="Q34" s="1" t="s">
        <v>56</v>
      </c>
      <c r="R34" s="1" t="s">
        <v>57</v>
      </c>
      <c r="S34" s="1" t="s">
        <v>76</v>
      </c>
      <c r="T34" s="1" t="s">
        <v>29</v>
      </c>
      <c r="U34">
        <v>2649.7</v>
      </c>
      <c r="V34">
        <v>1110</v>
      </c>
      <c r="W34">
        <v>56753.7</v>
      </c>
      <c r="X34" s="1" t="s">
        <v>41</v>
      </c>
      <c r="Y34">
        <v>0</v>
      </c>
      <c r="Z34">
        <v>-10204.85</v>
      </c>
      <c r="AA34" s="6"/>
      <c r="AB34" s="4" t="str">
        <v>International Package</v>
      </c>
      <c r="AC34" s="4" t="str">
        <v>High Value</v>
      </c>
      <c r="AD34" s="4" t="str">
        <v xml:space="preserve">Not Confirmed </v>
      </c>
      <c r="AE34" s="4" t="str">
        <v>Gold</v>
      </c>
      <c r="AF34" s="4" t="str">
        <v>Solo</v>
      </c>
      <c r="AG34" s="4" t="str">
        <f>IF(AND(Travel_Tourism_Booking_100_Records[[#This Row],[Booking Status]]="Confirmed",Travel_Tourism_Booking_100_Records[[#This Row],[Travelers]]&gt;=4),"Eligible","Not")</f>
        <v>Not</v>
      </c>
      <c r="AH34" s="4" t="str">
        <f>IF(AND(Travel_Tourism_Booking_100_Records[[#This Row],[Final Amount]]&gt;=75000,Travel_Tourism_Booking_100_Records[[#This Row],[Payment Mode]]="Credit Card"),"Eligible","Not Eligible")</f>
        <v>Not Eligible</v>
      </c>
      <c r="AI34" s="4" t="str">
        <f>IF(OR(Travel_Tourism_Booking_100_Records[[#This Row],[Booking Status]]="Confirmed",Travel_Tourism_Booking_100_Records[[#This Row],[Final Amount]]&gt;=150000),"High Priority","Not")</f>
        <v>Not</v>
      </c>
      <c r="AJ34" s="4" t="str">
        <f>IF(OR(Travel_Tourism_Booking_100_Records[[#This Row],[Payment Mode]]="Credit Card",Travel_Tourism_Booking_100_Records[[#This Row],[Travelers]]&gt;6),"Repeat Customer","Not Repeat")</f>
        <v>Not Repeat</v>
      </c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35">
      <c r="A35" s="1" t="s">
        <v>139</v>
      </c>
      <c r="B35" s="1" t="s">
        <v>115</v>
      </c>
      <c r="C35" s="1" t="s">
        <v>85</v>
      </c>
      <c r="D35" s="1" t="s">
        <v>71</v>
      </c>
      <c r="E35" s="2">
        <v>46150</v>
      </c>
      <c r="F35" s="2">
        <v>46174</v>
      </c>
      <c r="G35">
        <v>4</v>
      </c>
      <c r="H35">
        <v>89711</v>
      </c>
      <c r="I35">
        <v>42400</v>
      </c>
      <c r="J35">
        <v>47311</v>
      </c>
      <c r="K35" s="1" t="s">
        <v>34</v>
      </c>
      <c r="L35" s="1" t="s">
        <v>21</v>
      </c>
      <c r="M35" s="1" t="s">
        <v>46</v>
      </c>
      <c r="N35" s="1" t="s">
        <v>140</v>
      </c>
      <c r="O35" s="1" t="s">
        <v>24</v>
      </c>
      <c r="P35" s="1" t="s">
        <v>75</v>
      </c>
      <c r="Q35" s="1" t="s">
        <v>26</v>
      </c>
      <c r="R35" s="1" t="s">
        <v>27</v>
      </c>
      <c r="S35" s="1" t="s">
        <v>76</v>
      </c>
      <c r="T35" s="1" t="s">
        <v>29</v>
      </c>
      <c r="U35">
        <v>2365.5500000000002</v>
      </c>
      <c r="V35">
        <v>2695</v>
      </c>
      <c r="W35">
        <v>52371.55</v>
      </c>
      <c r="X35" s="1" t="s">
        <v>29</v>
      </c>
      <c r="Y35">
        <v>711</v>
      </c>
      <c r="Z35">
        <v>51660.55</v>
      </c>
      <c r="AA35" s="6"/>
      <c r="AB35" s="4" t="str">
        <v>International Package</v>
      </c>
      <c r="AC35" s="4" t="str">
        <v>Normal Booking</v>
      </c>
      <c r="AD35" s="4" t="str">
        <v>Confirmed</v>
      </c>
      <c r="AE35" s="4" t="str">
        <v>Silver</v>
      </c>
      <c r="AF35" s="4" t="str">
        <v>Small Group</v>
      </c>
      <c r="AG35" s="4" t="str">
        <f>IF(AND(Travel_Tourism_Booking_100_Records[[#This Row],[Booking Status]]="Confirmed",Travel_Tourism_Booking_100_Records[[#This Row],[Travelers]]&gt;=4),"Eligible","Not")</f>
        <v>Eligible</v>
      </c>
      <c r="AH35" s="4" t="str">
        <f>IF(AND(Travel_Tourism_Booking_100_Records[[#This Row],[Final Amount]]&gt;=75000,Travel_Tourism_Booking_100_Records[[#This Row],[Payment Mode]]="Credit Card"),"Eligible","Not Eligible")</f>
        <v>Not Eligible</v>
      </c>
      <c r="AI35" s="4" t="str">
        <f>IF(OR(Travel_Tourism_Booking_100_Records[[#This Row],[Booking Status]]="Confirmed",Travel_Tourism_Booking_100_Records[[#This Row],[Final Amount]]&gt;=150000),"High Priority","Not")</f>
        <v>High Priority</v>
      </c>
      <c r="AJ35" s="4" t="str">
        <f>IF(OR(Travel_Tourism_Booking_100_Records[[#This Row],[Payment Mode]]="Credit Card",Travel_Tourism_Booking_100_Records[[#This Row],[Travelers]]&gt;6),"Repeat Customer","Not Repeat")</f>
        <v>Not Repeat</v>
      </c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35">
      <c r="A36" s="1" t="s">
        <v>141</v>
      </c>
      <c r="B36" s="1" t="s">
        <v>31</v>
      </c>
      <c r="C36" s="1" t="s">
        <v>85</v>
      </c>
      <c r="D36" s="1" t="s">
        <v>19</v>
      </c>
      <c r="E36" s="2">
        <v>46113</v>
      </c>
      <c r="F36" s="2">
        <v>46163</v>
      </c>
      <c r="G36">
        <v>6</v>
      </c>
      <c r="H36">
        <v>79281</v>
      </c>
      <c r="I36">
        <v>146936</v>
      </c>
      <c r="J36">
        <v>-67655</v>
      </c>
      <c r="K36" s="1" t="s">
        <v>108</v>
      </c>
      <c r="L36" s="1" t="s">
        <v>66</v>
      </c>
      <c r="M36" s="1" t="s">
        <v>22</v>
      </c>
      <c r="N36" s="1" t="s">
        <v>36</v>
      </c>
      <c r="O36" s="1" t="s">
        <v>55</v>
      </c>
      <c r="P36" s="1" t="s">
        <v>38</v>
      </c>
      <c r="Q36" s="1" t="s">
        <v>56</v>
      </c>
      <c r="R36" s="1" t="s">
        <v>57</v>
      </c>
      <c r="S36" s="1" t="s">
        <v>50</v>
      </c>
      <c r="T36" s="1" t="s">
        <v>41</v>
      </c>
      <c r="U36">
        <v>-3382.75</v>
      </c>
      <c r="V36">
        <v>2903</v>
      </c>
      <c r="W36">
        <v>-68134.75</v>
      </c>
      <c r="X36" s="1" t="s">
        <v>29</v>
      </c>
      <c r="Y36">
        <v>2092</v>
      </c>
      <c r="Z36">
        <v>-70226.75</v>
      </c>
      <c r="AA36" s="6"/>
      <c r="AB36" s="4" t="str">
        <v>International Package</v>
      </c>
      <c r="AC36" s="4" t="str">
        <v>Normal Booking</v>
      </c>
      <c r="AD36" s="4" t="str">
        <v xml:space="preserve">Not Confirmed </v>
      </c>
      <c r="AE36" s="4" t="str">
        <v>Silver</v>
      </c>
      <c r="AF36" s="4" t="str">
        <v>Family</v>
      </c>
      <c r="AG36" s="4" t="str">
        <f>IF(AND(Travel_Tourism_Booking_100_Records[[#This Row],[Booking Status]]="Confirmed",Travel_Tourism_Booking_100_Records[[#This Row],[Travelers]]&gt;=4),"Eligible","Not")</f>
        <v>Not</v>
      </c>
      <c r="AH36" s="4" t="str">
        <f>IF(AND(Travel_Tourism_Booking_100_Records[[#This Row],[Final Amount]]&gt;=75000,Travel_Tourism_Booking_100_Records[[#This Row],[Payment Mode]]="Credit Card"),"Eligible","Not Eligible")</f>
        <v>Not Eligible</v>
      </c>
      <c r="AI36" s="4" t="str">
        <f>IF(OR(Travel_Tourism_Booking_100_Records[[#This Row],[Booking Status]]="Confirmed",Travel_Tourism_Booking_100_Records[[#This Row],[Final Amount]]&gt;=150000),"High Priority","Not")</f>
        <v>Not</v>
      </c>
      <c r="AJ36" s="4" t="str">
        <f>IF(OR(Travel_Tourism_Booking_100_Records[[#This Row],[Payment Mode]]="Credit Card",Travel_Tourism_Booking_100_Records[[#This Row],[Travelers]]&gt;6),"Repeat Customer","Not Repeat")</f>
        <v>Repeat Customer</v>
      </c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35">
      <c r="A37" s="1" t="s">
        <v>142</v>
      </c>
      <c r="B37" s="1" t="s">
        <v>94</v>
      </c>
      <c r="C37" s="1" t="s">
        <v>18</v>
      </c>
      <c r="D37" s="1" t="s">
        <v>96</v>
      </c>
      <c r="E37" s="2">
        <v>46079</v>
      </c>
      <c r="F37" s="2">
        <v>46121</v>
      </c>
      <c r="G37">
        <v>6</v>
      </c>
      <c r="H37">
        <v>143432</v>
      </c>
      <c r="I37">
        <v>121219</v>
      </c>
      <c r="J37">
        <v>22213</v>
      </c>
      <c r="K37" s="1" t="s">
        <v>54</v>
      </c>
      <c r="L37" s="1" t="s">
        <v>21</v>
      </c>
      <c r="M37" s="1" t="s">
        <v>35</v>
      </c>
      <c r="N37" s="1" t="s">
        <v>140</v>
      </c>
      <c r="O37" s="1" t="s">
        <v>55</v>
      </c>
      <c r="P37" s="1" t="s">
        <v>49</v>
      </c>
      <c r="Q37" s="1" t="s">
        <v>26</v>
      </c>
      <c r="R37" s="1" t="s">
        <v>27</v>
      </c>
      <c r="S37" s="1" t="s">
        <v>28</v>
      </c>
      <c r="T37" s="1" t="s">
        <v>41</v>
      </c>
      <c r="U37">
        <v>1110.6500000000001</v>
      </c>
      <c r="V37">
        <v>919</v>
      </c>
      <c r="W37">
        <v>24242.65</v>
      </c>
      <c r="X37" s="1" t="s">
        <v>29</v>
      </c>
      <c r="Y37">
        <v>2597</v>
      </c>
      <c r="Z37">
        <v>21645.65</v>
      </c>
      <c r="AA37" s="6"/>
      <c r="AB37" s="4" t="str">
        <v>International Package</v>
      </c>
      <c r="AC37" s="4" t="str">
        <v>High Value</v>
      </c>
      <c r="AD37" s="4" t="str">
        <v>Confirmed</v>
      </c>
      <c r="AE37" s="4" t="str">
        <v>Silver</v>
      </c>
      <c r="AF37" s="4" t="str">
        <v>Family</v>
      </c>
      <c r="AG37" s="4" t="str">
        <f>IF(AND(Travel_Tourism_Booking_100_Records[[#This Row],[Booking Status]]="Confirmed",Travel_Tourism_Booking_100_Records[[#This Row],[Travelers]]&gt;=4),"Eligible","Not")</f>
        <v>Eligible</v>
      </c>
      <c r="AH37" s="4" t="str">
        <f>IF(AND(Travel_Tourism_Booking_100_Records[[#This Row],[Final Amount]]&gt;=75000,Travel_Tourism_Booking_100_Records[[#This Row],[Payment Mode]]="Credit Card"),"Eligible","Not Eligible")</f>
        <v>Not Eligible</v>
      </c>
      <c r="AI37" s="4" t="str">
        <f>IF(OR(Travel_Tourism_Booking_100_Records[[#This Row],[Booking Status]]="Confirmed",Travel_Tourism_Booking_100_Records[[#This Row],[Final Amount]]&gt;=150000),"High Priority","Not")</f>
        <v>High Priority</v>
      </c>
      <c r="AJ37" s="4" t="str">
        <f>IF(OR(Travel_Tourism_Booking_100_Records[[#This Row],[Payment Mode]]="Credit Card",Travel_Tourism_Booking_100_Records[[#This Row],[Travelers]]&gt;6),"Repeat Customer","Not Repeat")</f>
        <v>Not Repeat</v>
      </c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35">
      <c r="A38" s="1" t="s">
        <v>143</v>
      </c>
      <c r="B38" s="1" t="s">
        <v>144</v>
      </c>
      <c r="C38" s="1" t="s">
        <v>95</v>
      </c>
      <c r="D38" s="1" t="s">
        <v>71</v>
      </c>
      <c r="E38" s="2">
        <v>46166</v>
      </c>
      <c r="F38" s="2">
        <v>46190</v>
      </c>
      <c r="G38">
        <v>1</v>
      </c>
      <c r="H38">
        <v>48071</v>
      </c>
      <c r="I38">
        <v>47196</v>
      </c>
      <c r="J38">
        <v>875</v>
      </c>
      <c r="K38" s="1" t="s">
        <v>54</v>
      </c>
      <c r="L38" s="1" t="s">
        <v>82</v>
      </c>
      <c r="M38" s="1" t="s">
        <v>72</v>
      </c>
      <c r="N38" s="1" t="s">
        <v>67</v>
      </c>
      <c r="O38" s="1" t="s">
        <v>48</v>
      </c>
      <c r="P38" s="1" t="s">
        <v>49</v>
      </c>
      <c r="Q38" s="1" t="s">
        <v>26</v>
      </c>
      <c r="R38" s="1" t="s">
        <v>27</v>
      </c>
      <c r="S38" s="1" t="s">
        <v>58</v>
      </c>
      <c r="T38" s="1" t="s">
        <v>41</v>
      </c>
      <c r="U38">
        <v>43.75</v>
      </c>
      <c r="V38">
        <v>1667</v>
      </c>
      <c r="W38">
        <v>2585.75</v>
      </c>
      <c r="X38" s="1" t="s">
        <v>41</v>
      </c>
      <c r="Y38">
        <v>0</v>
      </c>
      <c r="Z38">
        <v>21645.65</v>
      </c>
      <c r="AA38" s="6"/>
      <c r="AB38" s="4" t="str">
        <v>Domestic Package</v>
      </c>
      <c r="AC38" s="4" t="str">
        <v>Normal Booking</v>
      </c>
      <c r="AD38" s="4" t="str">
        <v xml:space="preserve">Not Confirmed </v>
      </c>
      <c r="AE38" s="4" t="str">
        <v>Silver</v>
      </c>
      <c r="AF38" s="4" t="str">
        <v>Solo</v>
      </c>
      <c r="AG38" s="4" t="str">
        <f>IF(AND(Travel_Tourism_Booking_100_Records[[#This Row],[Booking Status]]="Confirmed",Travel_Tourism_Booking_100_Records[[#This Row],[Travelers]]&gt;=4),"Eligible","Not")</f>
        <v>Not</v>
      </c>
      <c r="AH38" s="4" t="str">
        <f>IF(AND(Travel_Tourism_Booking_100_Records[[#This Row],[Final Amount]]&gt;=75000,Travel_Tourism_Booking_100_Records[[#This Row],[Payment Mode]]="Credit Card"),"Eligible","Not Eligible")</f>
        <v>Not Eligible</v>
      </c>
      <c r="AI38" s="4" t="str">
        <f>IF(OR(Travel_Tourism_Booking_100_Records[[#This Row],[Booking Status]]="Confirmed",Travel_Tourism_Booking_100_Records[[#This Row],[Final Amount]]&gt;=150000),"High Priority","Not")</f>
        <v>Not</v>
      </c>
      <c r="AJ38" s="4" t="str">
        <f>IF(OR(Travel_Tourism_Booking_100_Records[[#This Row],[Payment Mode]]="Credit Card",Travel_Tourism_Booking_100_Records[[#This Row],[Travelers]]&gt;6),"Repeat Customer","Not Repeat")</f>
        <v>Not Repeat</v>
      </c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35">
      <c r="A39" s="1" t="s">
        <v>145</v>
      </c>
      <c r="B39" s="1" t="s">
        <v>146</v>
      </c>
      <c r="C39" s="1" t="s">
        <v>53</v>
      </c>
      <c r="D39" s="1" t="s">
        <v>71</v>
      </c>
      <c r="E39" s="2">
        <v>46073</v>
      </c>
      <c r="F39" s="2">
        <v>46090</v>
      </c>
      <c r="G39">
        <v>1</v>
      </c>
      <c r="H39">
        <v>59458</v>
      </c>
      <c r="I39">
        <v>149104</v>
      </c>
      <c r="J39">
        <v>-89646</v>
      </c>
      <c r="K39" s="1" t="s">
        <v>20</v>
      </c>
      <c r="L39" s="1" t="s">
        <v>21</v>
      </c>
      <c r="M39" s="1" t="s">
        <v>46</v>
      </c>
      <c r="N39" s="1" t="s">
        <v>62</v>
      </c>
      <c r="O39" s="1" t="s">
        <v>63</v>
      </c>
      <c r="P39" s="1" t="s">
        <v>75</v>
      </c>
      <c r="Q39" s="1" t="s">
        <v>39</v>
      </c>
      <c r="R39" s="1" t="s">
        <v>57</v>
      </c>
      <c r="S39" s="1" t="s">
        <v>76</v>
      </c>
      <c r="T39" s="1" t="s">
        <v>41</v>
      </c>
      <c r="U39">
        <v>-4482.3</v>
      </c>
      <c r="V39">
        <v>1832</v>
      </c>
      <c r="W39">
        <v>-92296.3</v>
      </c>
      <c r="X39" s="1" t="s">
        <v>41</v>
      </c>
      <c r="Y39">
        <v>0</v>
      </c>
      <c r="Z39">
        <v>21645.65</v>
      </c>
      <c r="AA39" s="6"/>
      <c r="AB39" s="4" t="str">
        <v>International Package</v>
      </c>
      <c r="AC39" s="4" t="str">
        <v>Normal Booking</v>
      </c>
      <c r="AD39" s="4" t="str">
        <v>Confirmed</v>
      </c>
      <c r="AE39" s="4" t="str">
        <v>Silver</v>
      </c>
      <c r="AF39" s="4" t="str">
        <v>Solo</v>
      </c>
      <c r="AG39" s="4" t="str">
        <f>IF(AND(Travel_Tourism_Booking_100_Records[[#This Row],[Booking Status]]="Confirmed",Travel_Tourism_Booking_100_Records[[#This Row],[Travelers]]&gt;=4),"Eligible","Not")</f>
        <v>Not</v>
      </c>
      <c r="AH39" s="4" t="str">
        <f>IF(AND(Travel_Tourism_Booking_100_Records[[#This Row],[Final Amount]]&gt;=75000,Travel_Tourism_Booking_100_Records[[#This Row],[Payment Mode]]="Credit Card"),"Eligible","Not Eligible")</f>
        <v>Not Eligible</v>
      </c>
      <c r="AI39" s="4" t="str">
        <f>IF(OR(Travel_Tourism_Booking_100_Records[[#This Row],[Booking Status]]="Confirmed",Travel_Tourism_Booking_100_Records[[#This Row],[Final Amount]]&gt;=150000),"High Priority","Not")</f>
        <v>High Priority</v>
      </c>
      <c r="AJ39" s="4" t="str">
        <f>IF(OR(Travel_Tourism_Booking_100_Records[[#This Row],[Payment Mode]]="Credit Card",Travel_Tourism_Booking_100_Records[[#This Row],[Travelers]]&gt;6),"Repeat Customer","Not Repeat")</f>
        <v>Not Repeat</v>
      </c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35">
      <c r="A40" s="1" t="s">
        <v>147</v>
      </c>
      <c r="B40" s="1" t="s">
        <v>148</v>
      </c>
      <c r="C40" s="1" t="s">
        <v>53</v>
      </c>
      <c r="D40" s="1" t="s">
        <v>96</v>
      </c>
      <c r="E40" s="2">
        <v>46073</v>
      </c>
      <c r="F40" s="2">
        <v>46094</v>
      </c>
      <c r="G40">
        <v>5</v>
      </c>
      <c r="H40">
        <v>29703</v>
      </c>
      <c r="I40">
        <v>35075</v>
      </c>
      <c r="J40">
        <v>-5372</v>
      </c>
      <c r="K40" s="1" t="s">
        <v>79</v>
      </c>
      <c r="L40" s="1" t="s">
        <v>66</v>
      </c>
      <c r="M40" s="1" t="s">
        <v>91</v>
      </c>
      <c r="N40" s="1" t="s">
        <v>23</v>
      </c>
      <c r="O40" s="1" t="s">
        <v>92</v>
      </c>
      <c r="P40" s="1" t="s">
        <v>75</v>
      </c>
      <c r="Q40" s="1" t="s">
        <v>39</v>
      </c>
      <c r="R40" s="1" t="s">
        <v>40</v>
      </c>
      <c r="S40" s="1" t="s">
        <v>28</v>
      </c>
      <c r="T40" s="1" t="s">
        <v>41</v>
      </c>
      <c r="U40">
        <v>-268.60000000000002</v>
      </c>
      <c r="V40">
        <v>954</v>
      </c>
      <c r="W40">
        <v>-4686.6000000000004</v>
      </c>
      <c r="X40" s="1" t="s">
        <v>41</v>
      </c>
      <c r="Y40">
        <v>0</v>
      </c>
      <c r="Z40">
        <v>21645.65</v>
      </c>
      <c r="AA40" s="6"/>
      <c r="AB40" s="4" t="str">
        <v>International Package</v>
      </c>
      <c r="AC40" s="4" t="str">
        <v>Normal Booking</v>
      </c>
      <c r="AD40" s="4" t="str">
        <v xml:space="preserve">Not Confirmed </v>
      </c>
      <c r="AE40" s="4" t="str">
        <v>Silver</v>
      </c>
      <c r="AF40" s="4" t="str">
        <v>Family</v>
      </c>
      <c r="AG40" s="4" t="str">
        <f>IF(AND(Travel_Tourism_Booking_100_Records[[#This Row],[Booking Status]]="Confirmed",Travel_Tourism_Booking_100_Records[[#This Row],[Travelers]]&gt;=4),"Eligible","Not")</f>
        <v>Not</v>
      </c>
      <c r="AH40" s="4" t="str">
        <f>IF(AND(Travel_Tourism_Booking_100_Records[[#This Row],[Final Amount]]&gt;=75000,Travel_Tourism_Booking_100_Records[[#This Row],[Payment Mode]]="Credit Card"),"Eligible","Not Eligible")</f>
        <v>Not Eligible</v>
      </c>
      <c r="AI40" s="4" t="str">
        <f>IF(OR(Travel_Tourism_Booking_100_Records[[#This Row],[Booking Status]]="Confirmed",Travel_Tourism_Booking_100_Records[[#This Row],[Final Amount]]&gt;=150000),"High Priority","Not")</f>
        <v>Not</v>
      </c>
      <c r="AJ40" s="4" t="str">
        <f>IF(OR(Travel_Tourism_Booking_100_Records[[#This Row],[Payment Mode]]="Credit Card",Travel_Tourism_Booking_100_Records[[#This Row],[Travelers]]&gt;6),"Repeat Customer","Not Repeat")</f>
        <v>Not Repeat</v>
      </c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35">
      <c r="A41" s="1" t="s">
        <v>149</v>
      </c>
      <c r="B41" s="1" t="s">
        <v>150</v>
      </c>
      <c r="C41" s="1" t="s">
        <v>44</v>
      </c>
      <c r="D41" s="1" t="s">
        <v>19</v>
      </c>
      <c r="E41" s="2">
        <v>46155</v>
      </c>
      <c r="F41" s="2">
        <v>46174</v>
      </c>
      <c r="G41">
        <v>6</v>
      </c>
      <c r="H41">
        <v>113787</v>
      </c>
      <c r="I41">
        <v>3663</v>
      </c>
      <c r="J41">
        <v>110124</v>
      </c>
      <c r="K41" s="1" t="s">
        <v>108</v>
      </c>
      <c r="L41" s="1" t="s">
        <v>66</v>
      </c>
      <c r="M41" s="1" t="s">
        <v>22</v>
      </c>
      <c r="N41" s="1" t="s">
        <v>73</v>
      </c>
      <c r="O41" s="1" t="s">
        <v>63</v>
      </c>
      <c r="P41" s="1" t="s">
        <v>49</v>
      </c>
      <c r="Q41" s="1" t="s">
        <v>39</v>
      </c>
      <c r="R41" s="1" t="s">
        <v>57</v>
      </c>
      <c r="S41" s="1" t="s">
        <v>50</v>
      </c>
      <c r="T41" s="1" t="s">
        <v>29</v>
      </c>
      <c r="U41">
        <v>5506.2</v>
      </c>
      <c r="V41">
        <v>1567</v>
      </c>
      <c r="W41">
        <v>117197.2</v>
      </c>
      <c r="X41" s="1" t="s">
        <v>41</v>
      </c>
      <c r="Y41">
        <v>0</v>
      </c>
      <c r="Z41">
        <v>21645.65</v>
      </c>
      <c r="AA41" s="6"/>
      <c r="AB41" s="4" t="str">
        <v>International Package</v>
      </c>
      <c r="AC41" s="4" t="str">
        <v>High Value</v>
      </c>
      <c r="AD41" s="4" t="str">
        <v xml:space="preserve">Not Confirmed </v>
      </c>
      <c r="AE41" s="4" t="str">
        <v>Platinum</v>
      </c>
      <c r="AF41" s="4" t="str">
        <v>Family</v>
      </c>
      <c r="AG41" s="4" t="str">
        <f>IF(AND(Travel_Tourism_Booking_100_Records[[#This Row],[Booking Status]]="Confirmed",Travel_Tourism_Booking_100_Records[[#This Row],[Travelers]]&gt;=4),"Eligible","Not")</f>
        <v>Not</v>
      </c>
      <c r="AH41" s="4" t="str">
        <f>IF(AND(Travel_Tourism_Booking_100_Records[[#This Row],[Final Amount]]&gt;=75000,Travel_Tourism_Booking_100_Records[[#This Row],[Payment Mode]]="Credit Card"),"Eligible","Not Eligible")</f>
        <v>Eligible</v>
      </c>
      <c r="AI41" s="4" t="str">
        <f>IF(OR(Travel_Tourism_Booking_100_Records[[#This Row],[Booking Status]]="Confirmed",Travel_Tourism_Booking_100_Records[[#This Row],[Final Amount]]&gt;=150000),"High Priority","Not")</f>
        <v>Not</v>
      </c>
      <c r="AJ41" s="4" t="str">
        <f>IF(OR(Travel_Tourism_Booking_100_Records[[#This Row],[Payment Mode]]="Credit Card",Travel_Tourism_Booking_100_Records[[#This Row],[Travelers]]&gt;6),"Repeat Customer","Not Repeat")</f>
        <v>Repeat Customer</v>
      </c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35">
      <c r="A42" s="1" t="s">
        <v>151</v>
      </c>
      <c r="B42" s="1" t="s">
        <v>152</v>
      </c>
      <c r="C42" s="1" t="s">
        <v>95</v>
      </c>
      <c r="D42" s="1" t="s">
        <v>19</v>
      </c>
      <c r="E42" s="2">
        <v>46099</v>
      </c>
      <c r="F42" s="2">
        <v>46110</v>
      </c>
      <c r="G42">
        <v>3</v>
      </c>
      <c r="H42">
        <v>96507</v>
      </c>
      <c r="I42">
        <v>131522</v>
      </c>
      <c r="J42">
        <v>-35015</v>
      </c>
      <c r="K42" s="1" t="s">
        <v>54</v>
      </c>
      <c r="L42" s="1" t="s">
        <v>21</v>
      </c>
      <c r="M42" s="1" t="s">
        <v>72</v>
      </c>
      <c r="N42" s="1" t="s">
        <v>62</v>
      </c>
      <c r="O42" s="1" t="s">
        <v>24</v>
      </c>
      <c r="P42" s="1" t="s">
        <v>38</v>
      </c>
      <c r="Q42" s="1" t="s">
        <v>39</v>
      </c>
      <c r="R42" s="1" t="s">
        <v>27</v>
      </c>
      <c r="S42" s="1" t="s">
        <v>76</v>
      </c>
      <c r="T42" s="1" t="s">
        <v>41</v>
      </c>
      <c r="U42">
        <v>-1750.75</v>
      </c>
      <c r="V42">
        <v>2281</v>
      </c>
      <c r="W42">
        <v>-34484.75</v>
      </c>
      <c r="X42" s="1" t="s">
        <v>29</v>
      </c>
      <c r="Y42">
        <v>809</v>
      </c>
      <c r="Z42">
        <v>-35293.75</v>
      </c>
      <c r="AA42" s="6"/>
      <c r="AB42" s="4" t="str">
        <v>Domestic Package</v>
      </c>
      <c r="AC42" s="4" t="str">
        <v>Normal Booking</v>
      </c>
      <c r="AD42" s="4" t="str">
        <v>Confirmed</v>
      </c>
      <c r="AE42" s="4" t="str">
        <v>Silver</v>
      </c>
      <c r="AF42" s="4" t="str">
        <v>Small Group</v>
      </c>
      <c r="AG42" s="4" t="str">
        <f>IF(AND(Travel_Tourism_Booking_100_Records[[#This Row],[Booking Status]]="Confirmed",Travel_Tourism_Booking_100_Records[[#This Row],[Travelers]]&gt;=4),"Eligible","Not")</f>
        <v>Not</v>
      </c>
      <c r="AH42" s="4" t="str">
        <f>IF(AND(Travel_Tourism_Booking_100_Records[[#This Row],[Final Amount]]&gt;=75000,Travel_Tourism_Booking_100_Records[[#This Row],[Payment Mode]]="Credit Card"),"Eligible","Not Eligible")</f>
        <v>Not Eligible</v>
      </c>
      <c r="AI42" s="4" t="str">
        <f>IF(OR(Travel_Tourism_Booking_100_Records[[#This Row],[Booking Status]]="Confirmed",Travel_Tourism_Booking_100_Records[[#This Row],[Final Amount]]&gt;=150000),"High Priority","Not")</f>
        <v>High Priority</v>
      </c>
      <c r="AJ42" s="4" t="str">
        <f>IF(OR(Travel_Tourism_Booking_100_Records[[#This Row],[Payment Mode]]="Credit Card",Travel_Tourism_Booking_100_Records[[#This Row],[Travelers]]&gt;6),"Repeat Customer","Not Repeat")</f>
        <v>Not Repeat</v>
      </c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35">
      <c r="A43" s="1" t="s">
        <v>153</v>
      </c>
      <c r="B43" s="1" t="s">
        <v>154</v>
      </c>
      <c r="C43" s="1" t="s">
        <v>32</v>
      </c>
      <c r="D43" s="1" t="s">
        <v>19</v>
      </c>
      <c r="E43" s="2">
        <v>46149</v>
      </c>
      <c r="F43" s="2">
        <v>46196</v>
      </c>
      <c r="G43">
        <v>4</v>
      </c>
      <c r="H43">
        <v>101911</v>
      </c>
      <c r="I43">
        <v>140806</v>
      </c>
      <c r="J43">
        <v>-38895</v>
      </c>
      <c r="K43" s="1" t="s">
        <v>20</v>
      </c>
      <c r="L43" s="1" t="s">
        <v>66</v>
      </c>
      <c r="M43" s="1" t="s">
        <v>22</v>
      </c>
      <c r="N43" s="1" t="s">
        <v>73</v>
      </c>
      <c r="O43" s="1" t="s">
        <v>48</v>
      </c>
      <c r="P43" s="1" t="s">
        <v>25</v>
      </c>
      <c r="Q43" s="1" t="s">
        <v>39</v>
      </c>
      <c r="R43" s="1" t="s">
        <v>27</v>
      </c>
      <c r="S43" s="1" t="s">
        <v>76</v>
      </c>
      <c r="T43" s="1" t="s">
        <v>29</v>
      </c>
      <c r="U43">
        <v>-1944.75</v>
      </c>
      <c r="V43">
        <v>1312</v>
      </c>
      <c r="W43">
        <v>-39527.75</v>
      </c>
      <c r="X43" s="1" t="s">
        <v>41</v>
      </c>
      <c r="Y43">
        <v>0</v>
      </c>
      <c r="Z43">
        <v>-35293.75</v>
      </c>
      <c r="AA43" s="6"/>
      <c r="AB43" s="4" t="str">
        <v>International Package</v>
      </c>
      <c r="AC43" s="4" t="str">
        <v>High Value</v>
      </c>
      <c r="AD43" s="4" t="str">
        <v xml:space="preserve">Not Confirmed </v>
      </c>
      <c r="AE43" s="4" t="str">
        <v>Silver</v>
      </c>
      <c r="AF43" s="4" t="str">
        <v>Small Group</v>
      </c>
      <c r="AG43" s="4" t="str">
        <f>IF(AND(Travel_Tourism_Booking_100_Records[[#This Row],[Booking Status]]="Confirmed",Travel_Tourism_Booking_100_Records[[#This Row],[Travelers]]&gt;=4),"Eligible","Not")</f>
        <v>Not</v>
      </c>
      <c r="AH43" s="4" t="str">
        <f>IF(AND(Travel_Tourism_Booking_100_Records[[#This Row],[Final Amount]]&gt;=75000,Travel_Tourism_Booking_100_Records[[#This Row],[Payment Mode]]="Credit Card"),"Eligible","Not Eligible")</f>
        <v>Not Eligible</v>
      </c>
      <c r="AI43" s="4" t="str">
        <f>IF(OR(Travel_Tourism_Booking_100_Records[[#This Row],[Booking Status]]="Confirmed",Travel_Tourism_Booking_100_Records[[#This Row],[Final Amount]]&gt;=150000),"High Priority","Not")</f>
        <v>Not</v>
      </c>
      <c r="AJ43" s="4" t="str">
        <f>IF(OR(Travel_Tourism_Booking_100_Records[[#This Row],[Payment Mode]]="Credit Card",Travel_Tourism_Booking_100_Records[[#This Row],[Travelers]]&gt;6),"Repeat Customer","Not Repeat")</f>
        <v>Not Repeat</v>
      </c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35">
      <c r="A44" s="1" t="s">
        <v>155</v>
      </c>
      <c r="B44" s="1" t="s">
        <v>156</v>
      </c>
      <c r="C44" s="1" t="s">
        <v>53</v>
      </c>
      <c r="D44" s="1" t="s">
        <v>45</v>
      </c>
      <c r="E44" s="2">
        <v>46121</v>
      </c>
      <c r="F44" s="2">
        <v>46143</v>
      </c>
      <c r="G44">
        <v>5</v>
      </c>
      <c r="H44">
        <v>104532</v>
      </c>
      <c r="I44">
        <v>68661</v>
      </c>
      <c r="J44">
        <v>35871</v>
      </c>
      <c r="K44" s="1" t="s">
        <v>108</v>
      </c>
      <c r="L44" s="1" t="s">
        <v>66</v>
      </c>
      <c r="M44" s="1" t="s">
        <v>91</v>
      </c>
      <c r="N44" s="1" t="s">
        <v>36</v>
      </c>
      <c r="O44" s="1" t="s">
        <v>48</v>
      </c>
      <c r="P44" s="1" t="s">
        <v>49</v>
      </c>
      <c r="Q44" s="1" t="s">
        <v>56</v>
      </c>
      <c r="R44" s="1" t="s">
        <v>40</v>
      </c>
      <c r="S44" s="1" t="s">
        <v>76</v>
      </c>
      <c r="T44" s="1" t="s">
        <v>41</v>
      </c>
      <c r="U44">
        <v>1793.55</v>
      </c>
      <c r="V44">
        <v>2593</v>
      </c>
      <c r="W44">
        <v>40257.550000000003</v>
      </c>
      <c r="X44" s="1" t="s">
        <v>29</v>
      </c>
      <c r="Y44">
        <v>2951</v>
      </c>
      <c r="Z44">
        <v>37306.550000000003</v>
      </c>
      <c r="AA44" s="6"/>
      <c r="AB44" s="4" t="str">
        <v>International Package</v>
      </c>
      <c r="AC44" s="4" t="str">
        <v>High Value</v>
      </c>
      <c r="AD44" s="4" t="str">
        <v xml:space="preserve">Not Confirmed </v>
      </c>
      <c r="AE44" s="4" t="str">
        <v>Silver</v>
      </c>
      <c r="AF44" s="4" t="str">
        <v>Family</v>
      </c>
      <c r="AG44" s="4" t="str">
        <f>IF(AND(Travel_Tourism_Booking_100_Records[[#This Row],[Booking Status]]="Confirmed",Travel_Tourism_Booking_100_Records[[#This Row],[Travelers]]&gt;=4),"Eligible","Not")</f>
        <v>Not</v>
      </c>
      <c r="AH44" s="4" t="str">
        <f>IF(AND(Travel_Tourism_Booking_100_Records[[#This Row],[Final Amount]]&gt;=75000,Travel_Tourism_Booking_100_Records[[#This Row],[Payment Mode]]="Credit Card"),"Eligible","Not Eligible")</f>
        <v>Not Eligible</v>
      </c>
      <c r="AI44" s="4" t="str">
        <f>IF(OR(Travel_Tourism_Booking_100_Records[[#This Row],[Booking Status]]="Confirmed",Travel_Tourism_Booking_100_Records[[#This Row],[Final Amount]]&gt;=150000),"High Priority","Not")</f>
        <v>Not</v>
      </c>
      <c r="AJ44" s="4" t="str">
        <f>IF(OR(Travel_Tourism_Booking_100_Records[[#This Row],[Payment Mode]]="Credit Card",Travel_Tourism_Booking_100_Records[[#This Row],[Travelers]]&gt;6),"Repeat Customer","Not Repeat")</f>
        <v>Repeat Customer</v>
      </c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35">
      <c r="A45" s="1" t="s">
        <v>157</v>
      </c>
      <c r="B45" s="1" t="s">
        <v>158</v>
      </c>
      <c r="C45" s="1" t="s">
        <v>111</v>
      </c>
      <c r="D45" s="1" t="s">
        <v>45</v>
      </c>
      <c r="E45" s="2">
        <v>46092</v>
      </c>
      <c r="F45" s="2">
        <v>46107</v>
      </c>
      <c r="G45">
        <v>2</v>
      </c>
      <c r="H45">
        <v>104298</v>
      </c>
      <c r="I45">
        <v>20387</v>
      </c>
      <c r="J45">
        <v>83911</v>
      </c>
      <c r="K45" s="1" t="s">
        <v>108</v>
      </c>
      <c r="L45" s="1" t="s">
        <v>21</v>
      </c>
      <c r="M45" s="1" t="s">
        <v>22</v>
      </c>
      <c r="N45" s="1" t="s">
        <v>62</v>
      </c>
      <c r="O45" s="1" t="s">
        <v>86</v>
      </c>
      <c r="P45" s="1" t="s">
        <v>38</v>
      </c>
      <c r="Q45" s="1" t="s">
        <v>56</v>
      </c>
      <c r="R45" s="1" t="s">
        <v>27</v>
      </c>
      <c r="S45" s="1" t="s">
        <v>28</v>
      </c>
      <c r="T45" s="1" t="s">
        <v>41</v>
      </c>
      <c r="U45">
        <v>4195.55</v>
      </c>
      <c r="V45">
        <v>2370</v>
      </c>
      <c r="W45">
        <v>90476.55</v>
      </c>
      <c r="X45" s="1" t="s">
        <v>41</v>
      </c>
      <c r="Y45">
        <v>0</v>
      </c>
      <c r="Z45">
        <v>37306.550000000003</v>
      </c>
      <c r="AA45" s="6"/>
      <c r="AB45" s="4" t="str">
        <v>International Package</v>
      </c>
      <c r="AC45" s="4" t="str">
        <v>High Value</v>
      </c>
      <c r="AD45" s="4" t="str">
        <v>Confirmed</v>
      </c>
      <c r="AE45" s="4" t="str">
        <v>Gold</v>
      </c>
      <c r="AF45" s="4" t="str">
        <v>Small Group</v>
      </c>
      <c r="AG45" s="4" t="str">
        <f>IF(AND(Travel_Tourism_Booking_100_Records[[#This Row],[Booking Status]]="Confirmed",Travel_Tourism_Booking_100_Records[[#This Row],[Travelers]]&gt;=4),"Eligible","Not")</f>
        <v>Not</v>
      </c>
      <c r="AH45" s="4" t="str">
        <f>IF(AND(Travel_Tourism_Booking_100_Records[[#This Row],[Final Amount]]&gt;=75000,Travel_Tourism_Booking_100_Records[[#This Row],[Payment Mode]]="Credit Card"),"Eligible","Not Eligible")</f>
        <v>Eligible</v>
      </c>
      <c r="AI45" s="4" t="str">
        <f>IF(OR(Travel_Tourism_Booking_100_Records[[#This Row],[Booking Status]]="Confirmed",Travel_Tourism_Booking_100_Records[[#This Row],[Final Amount]]&gt;=150000),"High Priority","Not")</f>
        <v>High Priority</v>
      </c>
      <c r="AJ45" s="4" t="str">
        <f>IF(OR(Travel_Tourism_Booking_100_Records[[#This Row],[Payment Mode]]="Credit Card",Travel_Tourism_Booking_100_Records[[#This Row],[Travelers]]&gt;6),"Repeat Customer","Not Repeat")</f>
        <v>Repeat Customer</v>
      </c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35">
      <c r="A46" s="1" t="s">
        <v>159</v>
      </c>
      <c r="B46" s="1" t="s">
        <v>160</v>
      </c>
      <c r="C46" s="1" t="s">
        <v>32</v>
      </c>
      <c r="D46" s="1" t="s">
        <v>33</v>
      </c>
      <c r="E46" s="2">
        <v>46069</v>
      </c>
      <c r="F46" s="2">
        <v>46125</v>
      </c>
      <c r="G46">
        <v>5</v>
      </c>
      <c r="H46">
        <v>102597</v>
      </c>
      <c r="I46">
        <v>101733</v>
      </c>
      <c r="J46">
        <v>864</v>
      </c>
      <c r="K46" s="1" t="s">
        <v>20</v>
      </c>
      <c r="L46" s="1" t="s">
        <v>82</v>
      </c>
      <c r="M46" s="1" t="s">
        <v>91</v>
      </c>
      <c r="N46" s="1" t="s">
        <v>62</v>
      </c>
      <c r="O46" s="1" t="s">
        <v>63</v>
      </c>
      <c r="P46" s="1" t="s">
        <v>25</v>
      </c>
      <c r="Q46" s="1" t="s">
        <v>26</v>
      </c>
      <c r="R46" s="1" t="s">
        <v>57</v>
      </c>
      <c r="S46" s="1" t="s">
        <v>76</v>
      </c>
      <c r="T46" s="1" t="s">
        <v>41</v>
      </c>
      <c r="U46">
        <v>43.2</v>
      </c>
      <c r="V46">
        <v>815</v>
      </c>
      <c r="W46">
        <v>1722.2</v>
      </c>
      <c r="X46" s="1" t="s">
        <v>29</v>
      </c>
      <c r="Y46">
        <v>831</v>
      </c>
      <c r="Z46">
        <v>891.2</v>
      </c>
      <c r="AA46" s="6"/>
      <c r="AB46" s="4" t="str">
        <v>International Package</v>
      </c>
      <c r="AC46" s="4" t="str">
        <v>High Value</v>
      </c>
      <c r="AD46" s="4" t="str">
        <v xml:space="preserve">Not Confirmed </v>
      </c>
      <c r="AE46" s="4" t="str">
        <v>Silver</v>
      </c>
      <c r="AF46" s="4" t="str">
        <v>Family</v>
      </c>
      <c r="AG46" s="4" t="str">
        <f>IF(AND(Travel_Tourism_Booking_100_Records[[#This Row],[Booking Status]]="Confirmed",Travel_Tourism_Booking_100_Records[[#This Row],[Travelers]]&gt;=4),"Eligible","Not")</f>
        <v>Not</v>
      </c>
      <c r="AH46" s="4" t="str">
        <f>IF(AND(Travel_Tourism_Booking_100_Records[[#This Row],[Final Amount]]&gt;=75000,Travel_Tourism_Booking_100_Records[[#This Row],[Payment Mode]]="Credit Card"),"Eligible","Not Eligible")</f>
        <v>Not Eligible</v>
      </c>
      <c r="AI46" s="4" t="str">
        <f>IF(OR(Travel_Tourism_Booking_100_Records[[#This Row],[Booking Status]]="Confirmed",Travel_Tourism_Booking_100_Records[[#This Row],[Final Amount]]&gt;=150000),"High Priority","Not")</f>
        <v>Not</v>
      </c>
      <c r="AJ46" s="4" t="str">
        <f>IF(OR(Travel_Tourism_Booking_100_Records[[#This Row],[Payment Mode]]="Credit Card",Travel_Tourism_Booking_100_Records[[#This Row],[Travelers]]&gt;6),"Repeat Customer","Not Repeat")</f>
        <v>Not Repeat</v>
      </c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35">
      <c r="A47" s="1" t="s">
        <v>161</v>
      </c>
      <c r="B47" s="1" t="s">
        <v>162</v>
      </c>
      <c r="C47" s="1" t="s">
        <v>18</v>
      </c>
      <c r="D47" s="1" t="s">
        <v>19</v>
      </c>
      <c r="E47" s="2">
        <v>46193</v>
      </c>
      <c r="F47" s="2">
        <v>46204</v>
      </c>
      <c r="G47">
        <v>3</v>
      </c>
      <c r="H47">
        <v>46925</v>
      </c>
      <c r="I47">
        <v>46330</v>
      </c>
      <c r="J47">
        <v>595</v>
      </c>
      <c r="K47" s="1" t="s">
        <v>108</v>
      </c>
      <c r="L47" s="1" t="s">
        <v>66</v>
      </c>
      <c r="M47" s="1" t="s">
        <v>91</v>
      </c>
      <c r="N47" s="1" t="s">
        <v>140</v>
      </c>
      <c r="O47" s="1" t="s">
        <v>63</v>
      </c>
      <c r="P47" s="1" t="s">
        <v>75</v>
      </c>
      <c r="Q47" s="1" t="s">
        <v>56</v>
      </c>
      <c r="R47" s="1" t="s">
        <v>27</v>
      </c>
      <c r="S47" s="1" t="s">
        <v>76</v>
      </c>
      <c r="T47" s="1" t="s">
        <v>41</v>
      </c>
      <c r="U47">
        <v>29.75</v>
      </c>
      <c r="V47">
        <v>1265</v>
      </c>
      <c r="W47">
        <v>1889.75</v>
      </c>
      <c r="X47" s="1" t="s">
        <v>29</v>
      </c>
      <c r="Y47">
        <v>1454</v>
      </c>
      <c r="Z47">
        <v>435.75</v>
      </c>
      <c r="AA47" s="6"/>
      <c r="AB47" s="4" t="str">
        <v>International Package</v>
      </c>
      <c r="AC47" s="4" t="str">
        <v>Normal Booking</v>
      </c>
      <c r="AD47" s="4" t="str">
        <v xml:space="preserve">Not Confirmed </v>
      </c>
      <c r="AE47" s="4" t="str">
        <v>Silver</v>
      </c>
      <c r="AF47" s="4" t="str">
        <v>Small Group</v>
      </c>
      <c r="AG47" s="4" t="str">
        <f>IF(AND(Travel_Tourism_Booking_100_Records[[#This Row],[Booking Status]]="Confirmed",Travel_Tourism_Booking_100_Records[[#This Row],[Travelers]]&gt;=4),"Eligible","Not")</f>
        <v>Not</v>
      </c>
      <c r="AH47" s="4" t="str">
        <f>IF(AND(Travel_Tourism_Booking_100_Records[[#This Row],[Final Amount]]&gt;=75000,Travel_Tourism_Booking_100_Records[[#This Row],[Payment Mode]]="Credit Card"),"Eligible","Not Eligible")</f>
        <v>Not Eligible</v>
      </c>
      <c r="AI47" s="4" t="str">
        <f>IF(OR(Travel_Tourism_Booking_100_Records[[#This Row],[Booking Status]]="Confirmed",Travel_Tourism_Booking_100_Records[[#This Row],[Final Amount]]&gt;=150000),"High Priority","Not")</f>
        <v>Not</v>
      </c>
      <c r="AJ47" s="4" t="str">
        <f>IF(OR(Travel_Tourism_Booking_100_Records[[#This Row],[Payment Mode]]="Credit Card",Travel_Tourism_Booking_100_Records[[#This Row],[Travelers]]&gt;6),"Repeat Customer","Not Repeat")</f>
        <v>Repeat Customer</v>
      </c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x14ac:dyDescent="0.35">
      <c r="A48" s="1" t="s">
        <v>163</v>
      </c>
      <c r="B48" s="1" t="s">
        <v>164</v>
      </c>
      <c r="C48" s="1" t="s">
        <v>95</v>
      </c>
      <c r="D48" s="1" t="s">
        <v>33</v>
      </c>
      <c r="E48" s="2">
        <v>46030</v>
      </c>
      <c r="F48" s="2">
        <v>46038</v>
      </c>
      <c r="G48">
        <v>6</v>
      </c>
      <c r="H48">
        <v>81127</v>
      </c>
      <c r="I48">
        <v>63613</v>
      </c>
      <c r="J48">
        <v>17514</v>
      </c>
      <c r="K48" s="1" t="s">
        <v>34</v>
      </c>
      <c r="L48" s="1" t="s">
        <v>82</v>
      </c>
      <c r="M48" s="1" t="s">
        <v>22</v>
      </c>
      <c r="N48" s="1" t="s">
        <v>140</v>
      </c>
      <c r="O48" s="1" t="s">
        <v>48</v>
      </c>
      <c r="P48" s="1" t="s">
        <v>38</v>
      </c>
      <c r="Q48" s="1" t="s">
        <v>39</v>
      </c>
      <c r="R48" s="1" t="s">
        <v>57</v>
      </c>
      <c r="S48" s="1" t="s">
        <v>50</v>
      </c>
      <c r="T48" s="1" t="s">
        <v>29</v>
      </c>
      <c r="U48">
        <v>875.7</v>
      </c>
      <c r="V48">
        <v>809</v>
      </c>
      <c r="W48">
        <v>19198.7</v>
      </c>
      <c r="X48" s="1" t="s">
        <v>29</v>
      </c>
      <c r="Y48">
        <v>1858</v>
      </c>
      <c r="Z48">
        <v>17340.7</v>
      </c>
      <c r="AA48" s="6"/>
      <c r="AB48" s="4" t="str">
        <v>Domestic Package</v>
      </c>
      <c r="AC48" s="4" t="str">
        <v>Normal Booking</v>
      </c>
      <c r="AD48" s="4" t="str">
        <v xml:space="preserve">Not Confirmed </v>
      </c>
      <c r="AE48" s="4" t="str">
        <v>Silver</v>
      </c>
      <c r="AF48" s="4" t="str">
        <v>Family</v>
      </c>
      <c r="AG48" s="4" t="str">
        <f>IF(AND(Travel_Tourism_Booking_100_Records[[#This Row],[Booking Status]]="Confirmed",Travel_Tourism_Booking_100_Records[[#This Row],[Travelers]]&gt;=4),"Eligible","Not")</f>
        <v>Not</v>
      </c>
      <c r="AH48" s="4" t="str">
        <f>IF(AND(Travel_Tourism_Booking_100_Records[[#This Row],[Final Amount]]&gt;=75000,Travel_Tourism_Booking_100_Records[[#This Row],[Payment Mode]]="Credit Card"),"Eligible","Not Eligible")</f>
        <v>Not Eligible</v>
      </c>
      <c r="AI48" s="4" t="str">
        <f>IF(OR(Travel_Tourism_Booking_100_Records[[#This Row],[Booking Status]]="Confirmed",Travel_Tourism_Booking_100_Records[[#This Row],[Final Amount]]&gt;=150000),"High Priority","Not")</f>
        <v>Not</v>
      </c>
      <c r="AJ48" s="4" t="str">
        <f>IF(OR(Travel_Tourism_Booking_100_Records[[#This Row],[Payment Mode]]="Credit Card",Travel_Tourism_Booking_100_Records[[#This Row],[Travelers]]&gt;6),"Repeat Customer","Not Repeat")</f>
        <v>Not Repeat</v>
      </c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1:55" x14ac:dyDescent="0.35">
      <c r="A49" s="1" t="s">
        <v>165</v>
      </c>
      <c r="B49" s="1" t="s">
        <v>166</v>
      </c>
      <c r="C49" s="1" t="s">
        <v>53</v>
      </c>
      <c r="D49" s="1" t="s">
        <v>33</v>
      </c>
      <c r="E49" s="2">
        <v>46147</v>
      </c>
      <c r="F49" s="2">
        <v>46185</v>
      </c>
      <c r="G49">
        <v>4</v>
      </c>
      <c r="H49">
        <v>149725</v>
      </c>
      <c r="I49">
        <v>19902</v>
      </c>
      <c r="J49">
        <v>129823</v>
      </c>
      <c r="K49" s="1" t="s">
        <v>79</v>
      </c>
      <c r="L49" s="1" t="s">
        <v>21</v>
      </c>
      <c r="M49" s="1" t="s">
        <v>35</v>
      </c>
      <c r="N49" s="1" t="s">
        <v>73</v>
      </c>
      <c r="O49" s="1" t="s">
        <v>63</v>
      </c>
      <c r="P49" s="1" t="s">
        <v>25</v>
      </c>
      <c r="Q49" s="1" t="s">
        <v>56</v>
      </c>
      <c r="R49" s="1" t="s">
        <v>57</v>
      </c>
      <c r="S49" s="1" t="s">
        <v>58</v>
      </c>
      <c r="T49" s="1" t="s">
        <v>29</v>
      </c>
      <c r="U49">
        <v>6491.15</v>
      </c>
      <c r="V49">
        <v>526</v>
      </c>
      <c r="W49">
        <v>136840.15</v>
      </c>
      <c r="X49" s="1" t="s">
        <v>29</v>
      </c>
      <c r="Y49">
        <v>549</v>
      </c>
      <c r="Z49">
        <v>136291.15</v>
      </c>
      <c r="AA49" s="6"/>
      <c r="AB49" s="4" t="str">
        <v>International Package</v>
      </c>
      <c r="AC49" s="4" t="str">
        <v>High Value</v>
      </c>
      <c r="AD49" s="4" t="str">
        <v>Confirmed</v>
      </c>
      <c r="AE49" s="4" t="str">
        <v>Platinum</v>
      </c>
      <c r="AF49" s="4" t="str">
        <v>Small Group</v>
      </c>
      <c r="AG49" s="4" t="str">
        <f>IF(AND(Travel_Tourism_Booking_100_Records[[#This Row],[Booking Status]]="Confirmed",Travel_Tourism_Booking_100_Records[[#This Row],[Travelers]]&gt;=4),"Eligible","Not")</f>
        <v>Eligible</v>
      </c>
      <c r="AH49" s="4" t="str">
        <f>IF(AND(Travel_Tourism_Booking_100_Records[[#This Row],[Final Amount]]&gt;=75000,Travel_Tourism_Booking_100_Records[[#This Row],[Payment Mode]]="Credit Card"),"Eligible","Not Eligible")</f>
        <v>Not Eligible</v>
      </c>
      <c r="AI49" s="4" t="str">
        <f>IF(OR(Travel_Tourism_Booking_100_Records[[#This Row],[Booking Status]]="Confirmed",Travel_Tourism_Booking_100_Records[[#This Row],[Final Amount]]&gt;=150000),"High Priority","Not")</f>
        <v>High Priority</v>
      </c>
      <c r="AJ49" s="4" t="str">
        <f>IF(OR(Travel_Tourism_Booking_100_Records[[#This Row],[Payment Mode]]="Credit Card",Travel_Tourism_Booking_100_Records[[#This Row],[Travelers]]&gt;6),"Repeat Customer","Not Repeat")</f>
        <v>Not Repeat</v>
      </c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</row>
    <row r="50" spans="1:55" x14ac:dyDescent="0.35">
      <c r="A50" s="1" t="s">
        <v>167</v>
      </c>
      <c r="B50" s="1" t="s">
        <v>168</v>
      </c>
      <c r="C50" s="1" t="s">
        <v>70</v>
      </c>
      <c r="D50" s="1" t="s">
        <v>33</v>
      </c>
      <c r="E50" s="2">
        <v>46189</v>
      </c>
      <c r="F50" s="2">
        <v>46214</v>
      </c>
      <c r="G50">
        <v>5</v>
      </c>
      <c r="H50">
        <v>69342</v>
      </c>
      <c r="I50">
        <v>136770</v>
      </c>
      <c r="J50">
        <v>-67428</v>
      </c>
      <c r="K50" s="1" t="s">
        <v>108</v>
      </c>
      <c r="L50" s="1" t="s">
        <v>21</v>
      </c>
      <c r="M50" s="1" t="s">
        <v>22</v>
      </c>
      <c r="N50" s="1" t="s">
        <v>62</v>
      </c>
      <c r="O50" s="1" t="s">
        <v>74</v>
      </c>
      <c r="P50" s="1" t="s">
        <v>38</v>
      </c>
      <c r="Q50" s="1" t="s">
        <v>26</v>
      </c>
      <c r="R50" s="1" t="s">
        <v>27</v>
      </c>
      <c r="S50" s="1" t="s">
        <v>58</v>
      </c>
      <c r="T50" s="1" t="s">
        <v>41</v>
      </c>
      <c r="U50">
        <v>-3371.4</v>
      </c>
      <c r="V50">
        <v>1220</v>
      </c>
      <c r="W50">
        <v>-69579.399999999994</v>
      </c>
      <c r="X50" s="1" t="s">
        <v>41</v>
      </c>
      <c r="Y50">
        <v>0</v>
      </c>
      <c r="Z50">
        <v>136291.15</v>
      </c>
      <c r="AA50" s="6"/>
      <c r="AB50" s="4" t="str">
        <v>International Package</v>
      </c>
      <c r="AC50" s="4" t="str">
        <v>Normal Booking</v>
      </c>
      <c r="AD50" s="4" t="str">
        <v>Confirmed</v>
      </c>
      <c r="AE50" s="4" t="str">
        <v>Silver</v>
      </c>
      <c r="AF50" s="4" t="str">
        <v>Family</v>
      </c>
      <c r="AG50" s="4" t="str">
        <f>IF(AND(Travel_Tourism_Booking_100_Records[[#This Row],[Booking Status]]="Confirmed",Travel_Tourism_Booking_100_Records[[#This Row],[Travelers]]&gt;=4),"Eligible","Not")</f>
        <v>Eligible</v>
      </c>
      <c r="AH50" s="4" t="str">
        <f>IF(AND(Travel_Tourism_Booking_100_Records[[#This Row],[Final Amount]]&gt;=75000,Travel_Tourism_Booking_100_Records[[#This Row],[Payment Mode]]="Credit Card"),"Eligible","Not Eligible")</f>
        <v>Not Eligible</v>
      </c>
      <c r="AI50" s="4" t="str">
        <f>IF(OR(Travel_Tourism_Booking_100_Records[[#This Row],[Booking Status]]="Confirmed",Travel_Tourism_Booking_100_Records[[#This Row],[Final Amount]]&gt;=150000),"High Priority","Not")</f>
        <v>High Priority</v>
      </c>
      <c r="AJ50" s="4" t="str">
        <f>IF(OR(Travel_Tourism_Booking_100_Records[[#This Row],[Payment Mode]]="Credit Card",Travel_Tourism_Booking_100_Records[[#This Row],[Travelers]]&gt;6),"Repeat Customer","Not Repeat")</f>
        <v>Repeat Customer</v>
      </c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</row>
    <row r="51" spans="1:55" x14ac:dyDescent="0.35">
      <c r="A51" s="1" t="s">
        <v>169</v>
      </c>
      <c r="B51" s="1" t="s">
        <v>170</v>
      </c>
      <c r="C51" s="1" t="s">
        <v>111</v>
      </c>
      <c r="D51" s="1" t="s">
        <v>45</v>
      </c>
      <c r="E51" s="2">
        <v>46183</v>
      </c>
      <c r="F51" s="2">
        <v>46228</v>
      </c>
      <c r="G51">
        <v>3</v>
      </c>
      <c r="H51">
        <v>86065</v>
      </c>
      <c r="I51">
        <v>127029</v>
      </c>
      <c r="J51">
        <v>-40964</v>
      </c>
      <c r="K51" s="1" t="s">
        <v>20</v>
      </c>
      <c r="L51" s="1" t="s">
        <v>66</v>
      </c>
      <c r="M51" s="1" t="s">
        <v>72</v>
      </c>
      <c r="N51" s="1" t="s">
        <v>73</v>
      </c>
      <c r="O51" s="1" t="s">
        <v>37</v>
      </c>
      <c r="P51" s="1" t="s">
        <v>38</v>
      </c>
      <c r="Q51" s="1" t="s">
        <v>39</v>
      </c>
      <c r="R51" s="1" t="s">
        <v>27</v>
      </c>
      <c r="S51" s="1" t="s">
        <v>76</v>
      </c>
      <c r="T51" s="1" t="s">
        <v>29</v>
      </c>
      <c r="U51">
        <v>-2048.1999999999998</v>
      </c>
      <c r="V51">
        <v>1152</v>
      </c>
      <c r="W51">
        <v>-41860.199999999997</v>
      </c>
      <c r="X51" s="1" t="s">
        <v>41</v>
      </c>
      <c r="Y51">
        <v>0</v>
      </c>
      <c r="Z51">
        <v>136291.15</v>
      </c>
      <c r="AA51" s="6"/>
      <c r="AB51" s="4" t="str">
        <v>International Package</v>
      </c>
      <c r="AC51" s="4" t="str">
        <v>Normal Booking</v>
      </c>
      <c r="AD51" s="4" t="str">
        <v xml:space="preserve">Not Confirmed </v>
      </c>
      <c r="AE51" s="4" t="str">
        <v>Silver</v>
      </c>
      <c r="AF51" s="4" t="str">
        <v>Small Group</v>
      </c>
      <c r="AG51" s="4" t="str">
        <f>IF(AND(Travel_Tourism_Booking_100_Records[[#This Row],[Booking Status]]="Confirmed",Travel_Tourism_Booking_100_Records[[#This Row],[Travelers]]&gt;=4),"Eligible","Not")</f>
        <v>Not</v>
      </c>
      <c r="AH51" s="4" t="str">
        <f>IF(AND(Travel_Tourism_Booking_100_Records[[#This Row],[Final Amount]]&gt;=75000,Travel_Tourism_Booking_100_Records[[#This Row],[Payment Mode]]="Credit Card"),"Eligible","Not Eligible")</f>
        <v>Not Eligible</v>
      </c>
      <c r="AI51" s="4" t="str">
        <f>IF(OR(Travel_Tourism_Booking_100_Records[[#This Row],[Booking Status]]="Confirmed",Travel_Tourism_Booking_100_Records[[#This Row],[Final Amount]]&gt;=150000),"High Priority","Not")</f>
        <v>Not</v>
      </c>
      <c r="AJ51" s="4" t="str">
        <f>IF(OR(Travel_Tourism_Booking_100_Records[[#This Row],[Payment Mode]]="Credit Card",Travel_Tourism_Booking_100_Records[[#This Row],[Travelers]]&gt;6),"Repeat Customer","Not Repeat")</f>
        <v>Not Repeat</v>
      </c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</row>
    <row r="52" spans="1:55" x14ac:dyDescent="0.35">
      <c r="A52" s="1" t="s">
        <v>171</v>
      </c>
      <c r="B52" s="1" t="s">
        <v>172</v>
      </c>
      <c r="C52" s="1" t="s">
        <v>85</v>
      </c>
      <c r="D52" s="1" t="s">
        <v>19</v>
      </c>
      <c r="E52" s="2">
        <v>46172</v>
      </c>
      <c r="F52" s="2">
        <v>46181</v>
      </c>
      <c r="G52">
        <v>6</v>
      </c>
      <c r="H52">
        <v>104572</v>
      </c>
      <c r="I52">
        <v>104401</v>
      </c>
      <c r="J52">
        <v>171</v>
      </c>
      <c r="K52" s="1" t="s">
        <v>79</v>
      </c>
      <c r="L52" s="1" t="s">
        <v>21</v>
      </c>
      <c r="M52" s="1" t="s">
        <v>22</v>
      </c>
      <c r="N52" s="1" t="s">
        <v>105</v>
      </c>
      <c r="O52" s="1" t="s">
        <v>86</v>
      </c>
      <c r="P52" s="1" t="s">
        <v>38</v>
      </c>
      <c r="Q52" s="1" t="s">
        <v>39</v>
      </c>
      <c r="R52" s="1" t="s">
        <v>27</v>
      </c>
      <c r="S52" s="1" t="s">
        <v>58</v>
      </c>
      <c r="T52" s="1" t="s">
        <v>41</v>
      </c>
      <c r="U52">
        <v>8.5500000000000007</v>
      </c>
      <c r="V52">
        <v>2665</v>
      </c>
      <c r="W52">
        <v>2844.55</v>
      </c>
      <c r="X52" s="1" t="s">
        <v>29</v>
      </c>
      <c r="Y52">
        <v>1952</v>
      </c>
      <c r="Z52">
        <v>892.55000000000018</v>
      </c>
      <c r="AA52" s="6"/>
      <c r="AB52" s="4" t="str">
        <v>International Package</v>
      </c>
      <c r="AC52" s="4" t="str">
        <v>High Value</v>
      </c>
      <c r="AD52" s="4" t="str">
        <v>Confirmed</v>
      </c>
      <c r="AE52" s="4" t="str">
        <v>Silver</v>
      </c>
      <c r="AF52" s="4" t="str">
        <v>Family</v>
      </c>
      <c r="AG52" s="4" t="str">
        <f>IF(AND(Travel_Tourism_Booking_100_Records[[#This Row],[Booking Status]]="Confirmed",Travel_Tourism_Booking_100_Records[[#This Row],[Travelers]]&gt;=4),"Eligible","Not")</f>
        <v>Eligible</v>
      </c>
      <c r="AH52" s="4" t="str">
        <f>IF(AND(Travel_Tourism_Booking_100_Records[[#This Row],[Final Amount]]&gt;=75000,Travel_Tourism_Booking_100_Records[[#This Row],[Payment Mode]]="Credit Card"),"Eligible","Not Eligible")</f>
        <v>Not Eligible</v>
      </c>
      <c r="AI52" s="4" t="str">
        <f>IF(OR(Travel_Tourism_Booking_100_Records[[#This Row],[Booking Status]]="Confirmed",Travel_Tourism_Booking_100_Records[[#This Row],[Final Amount]]&gt;=150000),"High Priority","Not")</f>
        <v>High Priority</v>
      </c>
      <c r="AJ52" s="4" t="str">
        <f>IF(OR(Travel_Tourism_Booking_100_Records[[#This Row],[Payment Mode]]="Credit Card",Travel_Tourism_Booking_100_Records[[#This Row],[Travelers]]&gt;6),"Repeat Customer","Not Repeat")</f>
        <v>Not Repeat</v>
      </c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</row>
    <row r="53" spans="1:55" x14ac:dyDescent="0.35">
      <c r="A53" s="1" t="s">
        <v>173</v>
      </c>
      <c r="B53" s="1" t="s">
        <v>174</v>
      </c>
      <c r="C53" s="1" t="s">
        <v>53</v>
      </c>
      <c r="D53" s="1" t="s">
        <v>33</v>
      </c>
      <c r="E53" s="2">
        <v>46149</v>
      </c>
      <c r="F53" s="2">
        <v>46193</v>
      </c>
      <c r="G53">
        <v>5</v>
      </c>
      <c r="H53">
        <v>126532</v>
      </c>
      <c r="I53">
        <v>75470</v>
      </c>
      <c r="J53">
        <v>51062</v>
      </c>
      <c r="K53" s="1" t="s">
        <v>54</v>
      </c>
      <c r="L53" s="1" t="s">
        <v>21</v>
      </c>
      <c r="M53" s="1" t="s">
        <v>72</v>
      </c>
      <c r="N53" s="1" t="s">
        <v>73</v>
      </c>
      <c r="O53" s="1" t="s">
        <v>24</v>
      </c>
      <c r="P53" s="1" t="s">
        <v>25</v>
      </c>
      <c r="Q53" s="1" t="s">
        <v>39</v>
      </c>
      <c r="R53" s="1" t="s">
        <v>27</v>
      </c>
      <c r="S53" s="1" t="s">
        <v>50</v>
      </c>
      <c r="T53" s="1" t="s">
        <v>41</v>
      </c>
      <c r="U53">
        <v>2553.1</v>
      </c>
      <c r="V53">
        <v>671</v>
      </c>
      <c r="W53">
        <v>54286.1</v>
      </c>
      <c r="X53" s="1" t="s">
        <v>29</v>
      </c>
      <c r="Y53">
        <v>1110</v>
      </c>
      <c r="Z53">
        <v>53176.1</v>
      </c>
      <c r="AA53" s="6"/>
      <c r="AB53" s="4" t="str">
        <v>International Package</v>
      </c>
      <c r="AC53" s="4" t="str">
        <v>High Value</v>
      </c>
      <c r="AD53" s="4" t="str">
        <v>Confirmed</v>
      </c>
      <c r="AE53" s="4" t="str">
        <v>Gold</v>
      </c>
      <c r="AF53" s="4" t="str">
        <v>Family</v>
      </c>
      <c r="AG53" s="4" t="str">
        <f>IF(AND(Travel_Tourism_Booking_100_Records[[#This Row],[Booking Status]]="Confirmed",Travel_Tourism_Booking_100_Records[[#This Row],[Travelers]]&gt;=4),"Eligible","Not")</f>
        <v>Eligible</v>
      </c>
      <c r="AH53" s="4" t="str">
        <f>IF(AND(Travel_Tourism_Booking_100_Records[[#This Row],[Final Amount]]&gt;=75000,Travel_Tourism_Booking_100_Records[[#This Row],[Payment Mode]]="Credit Card"),"Eligible","Not Eligible")</f>
        <v>Not Eligible</v>
      </c>
      <c r="AI53" s="4" t="str">
        <f>IF(OR(Travel_Tourism_Booking_100_Records[[#This Row],[Booking Status]]="Confirmed",Travel_Tourism_Booking_100_Records[[#This Row],[Final Amount]]&gt;=150000),"High Priority","Not")</f>
        <v>High Priority</v>
      </c>
      <c r="AJ53" s="4" t="str">
        <f>IF(OR(Travel_Tourism_Booking_100_Records[[#This Row],[Payment Mode]]="Credit Card",Travel_Tourism_Booking_100_Records[[#This Row],[Travelers]]&gt;6),"Repeat Customer","Not Repeat")</f>
        <v>Not Repeat</v>
      </c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</row>
    <row r="54" spans="1:55" x14ac:dyDescent="0.35">
      <c r="A54" s="1" t="s">
        <v>175</v>
      </c>
      <c r="B54" s="1" t="s">
        <v>176</v>
      </c>
      <c r="C54" s="1" t="s">
        <v>44</v>
      </c>
      <c r="D54" s="1" t="s">
        <v>96</v>
      </c>
      <c r="E54" s="2">
        <v>46174</v>
      </c>
      <c r="F54" s="2">
        <v>46193</v>
      </c>
      <c r="G54">
        <v>6</v>
      </c>
      <c r="H54">
        <v>108710</v>
      </c>
      <c r="I54">
        <v>92031</v>
      </c>
      <c r="J54">
        <v>16679</v>
      </c>
      <c r="K54" s="1" t="s">
        <v>54</v>
      </c>
      <c r="L54" s="1" t="s">
        <v>82</v>
      </c>
      <c r="M54" s="1" t="s">
        <v>91</v>
      </c>
      <c r="N54" s="1" t="s">
        <v>23</v>
      </c>
      <c r="O54" s="1" t="s">
        <v>24</v>
      </c>
      <c r="P54" s="1" t="s">
        <v>38</v>
      </c>
      <c r="Q54" s="1" t="s">
        <v>26</v>
      </c>
      <c r="R54" s="1" t="s">
        <v>27</v>
      </c>
      <c r="S54" s="1" t="s">
        <v>58</v>
      </c>
      <c r="T54" s="1" t="s">
        <v>41</v>
      </c>
      <c r="U54">
        <v>833.95</v>
      </c>
      <c r="V54">
        <v>1828</v>
      </c>
      <c r="W54">
        <v>19340.95</v>
      </c>
      <c r="X54" s="1" t="s">
        <v>29</v>
      </c>
      <c r="Y54">
        <v>2394</v>
      </c>
      <c r="Z54">
        <v>16946.95</v>
      </c>
      <c r="AA54" s="6"/>
      <c r="AB54" s="4" t="str">
        <v>International Package</v>
      </c>
      <c r="AC54" s="4" t="str">
        <v>High Value</v>
      </c>
      <c r="AD54" s="4" t="str">
        <v xml:space="preserve">Not Confirmed </v>
      </c>
      <c r="AE54" s="4" t="str">
        <v>Silver</v>
      </c>
      <c r="AF54" s="4" t="str">
        <v>Family</v>
      </c>
      <c r="AG54" s="4" t="str">
        <f>IF(AND(Travel_Tourism_Booking_100_Records[[#This Row],[Booking Status]]="Confirmed",Travel_Tourism_Booking_100_Records[[#This Row],[Travelers]]&gt;=4),"Eligible","Not")</f>
        <v>Not</v>
      </c>
      <c r="AH54" s="4" t="str">
        <f>IF(AND(Travel_Tourism_Booking_100_Records[[#This Row],[Final Amount]]&gt;=75000,Travel_Tourism_Booking_100_Records[[#This Row],[Payment Mode]]="Credit Card"),"Eligible","Not Eligible")</f>
        <v>Not Eligible</v>
      </c>
      <c r="AI54" s="4" t="str">
        <f>IF(OR(Travel_Tourism_Booking_100_Records[[#This Row],[Booking Status]]="Confirmed",Travel_Tourism_Booking_100_Records[[#This Row],[Final Amount]]&gt;=150000),"High Priority","Not")</f>
        <v>Not</v>
      </c>
      <c r="AJ54" s="4" t="str">
        <f>IF(OR(Travel_Tourism_Booking_100_Records[[#This Row],[Payment Mode]]="Credit Card",Travel_Tourism_Booking_100_Records[[#This Row],[Travelers]]&gt;6),"Repeat Customer","Not Repeat")</f>
        <v>Not Repeat</v>
      </c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</row>
    <row r="55" spans="1:55" x14ac:dyDescent="0.35">
      <c r="A55" s="1" t="s">
        <v>177</v>
      </c>
      <c r="B55" s="1" t="s">
        <v>178</v>
      </c>
      <c r="C55" s="1" t="s">
        <v>103</v>
      </c>
      <c r="D55" s="1" t="s">
        <v>71</v>
      </c>
      <c r="E55" s="2">
        <v>46138</v>
      </c>
      <c r="F55" s="2">
        <v>46194</v>
      </c>
      <c r="G55">
        <v>5</v>
      </c>
      <c r="H55">
        <v>40707</v>
      </c>
      <c r="I55">
        <v>65879</v>
      </c>
      <c r="J55">
        <v>-25172</v>
      </c>
      <c r="K55" s="1" t="s">
        <v>54</v>
      </c>
      <c r="L55" s="1" t="s">
        <v>82</v>
      </c>
      <c r="M55" s="1" t="s">
        <v>35</v>
      </c>
      <c r="N55" s="1" t="s">
        <v>36</v>
      </c>
      <c r="O55" s="1" t="s">
        <v>55</v>
      </c>
      <c r="P55" s="1" t="s">
        <v>75</v>
      </c>
      <c r="Q55" s="1" t="s">
        <v>56</v>
      </c>
      <c r="R55" s="1" t="s">
        <v>27</v>
      </c>
      <c r="S55" s="1" t="s">
        <v>50</v>
      </c>
      <c r="T55" s="1" t="s">
        <v>29</v>
      </c>
      <c r="U55">
        <v>-1258.5999999999999</v>
      </c>
      <c r="V55">
        <v>1263</v>
      </c>
      <c r="W55">
        <v>-25167.599999999999</v>
      </c>
      <c r="X55" s="1" t="s">
        <v>41</v>
      </c>
      <c r="Y55">
        <v>0</v>
      </c>
      <c r="Z55">
        <v>16946.95</v>
      </c>
      <c r="AA55" s="6"/>
      <c r="AB55" s="4" t="str">
        <v>International Package</v>
      </c>
      <c r="AC55" s="4" t="str">
        <v>Normal Booking</v>
      </c>
      <c r="AD55" s="4" t="str">
        <v xml:space="preserve">Not Confirmed </v>
      </c>
      <c r="AE55" s="4" t="str">
        <v>Silver</v>
      </c>
      <c r="AF55" s="4" t="str">
        <v>Family</v>
      </c>
      <c r="AG55" s="4" t="str">
        <f>IF(AND(Travel_Tourism_Booking_100_Records[[#This Row],[Booking Status]]="Confirmed",Travel_Tourism_Booking_100_Records[[#This Row],[Travelers]]&gt;=4),"Eligible","Not")</f>
        <v>Not</v>
      </c>
      <c r="AH55" s="4" t="str">
        <f>IF(AND(Travel_Tourism_Booking_100_Records[[#This Row],[Final Amount]]&gt;=75000,Travel_Tourism_Booking_100_Records[[#This Row],[Payment Mode]]="Credit Card"),"Eligible","Not Eligible")</f>
        <v>Not Eligible</v>
      </c>
      <c r="AI55" s="4" t="str">
        <f>IF(OR(Travel_Tourism_Booking_100_Records[[#This Row],[Booking Status]]="Confirmed",Travel_Tourism_Booking_100_Records[[#This Row],[Final Amount]]&gt;=150000),"High Priority","Not")</f>
        <v>Not</v>
      </c>
      <c r="AJ55" s="4" t="str">
        <f>IF(OR(Travel_Tourism_Booking_100_Records[[#This Row],[Payment Mode]]="Credit Card",Travel_Tourism_Booking_100_Records[[#This Row],[Travelers]]&gt;6),"Repeat Customer","Not Repeat")</f>
        <v>Not Repeat</v>
      </c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</row>
    <row r="56" spans="1:55" x14ac:dyDescent="0.35">
      <c r="A56" s="1" t="s">
        <v>179</v>
      </c>
      <c r="B56" s="1" t="s">
        <v>138</v>
      </c>
      <c r="C56" s="1" t="s">
        <v>61</v>
      </c>
      <c r="D56" s="1" t="s">
        <v>71</v>
      </c>
      <c r="E56" s="2">
        <v>46087</v>
      </c>
      <c r="F56" s="2">
        <v>46141</v>
      </c>
      <c r="G56">
        <v>3</v>
      </c>
      <c r="H56">
        <v>42422</v>
      </c>
      <c r="I56">
        <v>101857</v>
      </c>
      <c r="J56">
        <v>-59435</v>
      </c>
      <c r="K56" s="1" t="s">
        <v>54</v>
      </c>
      <c r="L56" s="1" t="s">
        <v>82</v>
      </c>
      <c r="M56" s="1" t="s">
        <v>72</v>
      </c>
      <c r="N56" s="1" t="s">
        <v>47</v>
      </c>
      <c r="O56" s="1" t="s">
        <v>48</v>
      </c>
      <c r="P56" s="1" t="s">
        <v>49</v>
      </c>
      <c r="Q56" s="1" t="s">
        <v>39</v>
      </c>
      <c r="R56" s="1" t="s">
        <v>40</v>
      </c>
      <c r="S56" s="1" t="s">
        <v>58</v>
      </c>
      <c r="T56" s="1" t="s">
        <v>29</v>
      </c>
      <c r="U56">
        <v>-2971.75</v>
      </c>
      <c r="V56">
        <v>2021</v>
      </c>
      <c r="W56">
        <v>-60385.75</v>
      </c>
      <c r="X56" s="1" t="s">
        <v>29</v>
      </c>
      <c r="Y56">
        <v>1272</v>
      </c>
      <c r="Z56">
        <v>-61657.75</v>
      </c>
      <c r="AA56" s="6"/>
      <c r="AB56" s="4" t="str">
        <v>International Package</v>
      </c>
      <c r="AC56" s="4" t="str">
        <v>Normal Booking</v>
      </c>
      <c r="AD56" s="4" t="str">
        <v xml:space="preserve">Not Confirmed </v>
      </c>
      <c r="AE56" s="4" t="str">
        <v>Silver</v>
      </c>
      <c r="AF56" s="4" t="str">
        <v>Small Group</v>
      </c>
      <c r="AG56" s="4" t="str">
        <f>IF(AND(Travel_Tourism_Booking_100_Records[[#This Row],[Booking Status]]="Confirmed",Travel_Tourism_Booking_100_Records[[#This Row],[Travelers]]&gt;=4),"Eligible","Not")</f>
        <v>Not</v>
      </c>
      <c r="AH56" s="4" t="str">
        <f>IF(AND(Travel_Tourism_Booking_100_Records[[#This Row],[Final Amount]]&gt;=75000,Travel_Tourism_Booking_100_Records[[#This Row],[Payment Mode]]="Credit Card"),"Eligible","Not Eligible")</f>
        <v>Not Eligible</v>
      </c>
      <c r="AI56" s="4" t="str">
        <f>IF(OR(Travel_Tourism_Booking_100_Records[[#This Row],[Booking Status]]="Confirmed",Travel_Tourism_Booking_100_Records[[#This Row],[Final Amount]]&gt;=150000),"High Priority","Not")</f>
        <v>Not</v>
      </c>
      <c r="AJ56" s="4" t="str">
        <f>IF(OR(Travel_Tourism_Booking_100_Records[[#This Row],[Payment Mode]]="Credit Card",Travel_Tourism_Booking_100_Records[[#This Row],[Travelers]]&gt;6),"Repeat Customer","Not Repeat")</f>
        <v>Not Repeat</v>
      </c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</row>
    <row r="57" spans="1:55" x14ac:dyDescent="0.35">
      <c r="A57" s="1" t="s">
        <v>180</v>
      </c>
      <c r="B57" s="1" t="s">
        <v>98</v>
      </c>
      <c r="C57" s="1" t="s">
        <v>103</v>
      </c>
      <c r="D57" s="1" t="s">
        <v>19</v>
      </c>
      <c r="E57" s="2">
        <v>46074</v>
      </c>
      <c r="F57" s="2">
        <v>46114</v>
      </c>
      <c r="G57">
        <v>5</v>
      </c>
      <c r="H57">
        <v>32237</v>
      </c>
      <c r="I57">
        <v>23180</v>
      </c>
      <c r="J57">
        <v>9057</v>
      </c>
      <c r="K57" s="1" t="s">
        <v>79</v>
      </c>
      <c r="L57" s="1" t="s">
        <v>66</v>
      </c>
      <c r="M57" s="1" t="s">
        <v>35</v>
      </c>
      <c r="N57" s="1" t="s">
        <v>73</v>
      </c>
      <c r="O57" s="1" t="s">
        <v>37</v>
      </c>
      <c r="P57" s="1" t="s">
        <v>75</v>
      </c>
      <c r="Q57" s="1" t="s">
        <v>26</v>
      </c>
      <c r="R57" s="1" t="s">
        <v>57</v>
      </c>
      <c r="S57" s="1" t="s">
        <v>58</v>
      </c>
      <c r="T57" s="1" t="s">
        <v>41</v>
      </c>
      <c r="U57">
        <v>452.85</v>
      </c>
      <c r="V57">
        <v>2322</v>
      </c>
      <c r="W57">
        <v>11831.85</v>
      </c>
      <c r="X57" s="1" t="s">
        <v>29</v>
      </c>
      <c r="Y57">
        <v>541</v>
      </c>
      <c r="Z57">
        <v>11290.85</v>
      </c>
      <c r="AA57" s="6"/>
      <c r="AB57" s="4" t="str">
        <v>International Package</v>
      </c>
      <c r="AC57" s="4" t="str">
        <v>Normal Booking</v>
      </c>
      <c r="AD57" s="4" t="str">
        <v xml:space="preserve">Not Confirmed </v>
      </c>
      <c r="AE57" s="4" t="str">
        <v>Silver</v>
      </c>
      <c r="AF57" s="4" t="str">
        <v>Family</v>
      </c>
      <c r="AG57" s="4" t="str">
        <f>IF(AND(Travel_Tourism_Booking_100_Records[[#This Row],[Booking Status]]="Confirmed",Travel_Tourism_Booking_100_Records[[#This Row],[Travelers]]&gt;=4),"Eligible","Not")</f>
        <v>Not</v>
      </c>
      <c r="AH57" s="4" t="str">
        <f>IF(AND(Travel_Tourism_Booking_100_Records[[#This Row],[Final Amount]]&gt;=75000,Travel_Tourism_Booking_100_Records[[#This Row],[Payment Mode]]="Credit Card"),"Eligible","Not Eligible")</f>
        <v>Not Eligible</v>
      </c>
      <c r="AI57" s="4" t="str">
        <f>IF(OR(Travel_Tourism_Booking_100_Records[[#This Row],[Booking Status]]="Confirmed",Travel_Tourism_Booking_100_Records[[#This Row],[Final Amount]]&gt;=150000),"High Priority","Not")</f>
        <v>Not</v>
      </c>
      <c r="AJ57" s="4" t="str">
        <f>IF(OR(Travel_Tourism_Booking_100_Records[[#This Row],[Payment Mode]]="Credit Card",Travel_Tourism_Booking_100_Records[[#This Row],[Travelers]]&gt;6),"Repeat Customer","Not Repeat")</f>
        <v>Not Repeat</v>
      </c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</row>
    <row r="58" spans="1:55" x14ac:dyDescent="0.35">
      <c r="A58" s="1" t="s">
        <v>181</v>
      </c>
      <c r="B58" s="1" t="s">
        <v>182</v>
      </c>
      <c r="C58" s="1" t="s">
        <v>103</v>
      </c>
      <c r="D58" s="1" t="s">
        <v>45</v>
      </c>
      <c r="E58" s="2">
        <v>46025</v>
      </c>
      <c r="F58" s="2">
        <v>46060</v>
      </c>
      <c r="G58">
        <v>5</v>
      </c>
      <c r="H58">
        <v>46607</v>
      </c>
      <c r="I58">
        <v>11220</v>
      </c>
      <c r="J58">
        <v>35387</v>
      </c>
      <c r="K58" s="1" t="s">
        <v>54</v>
      </c>
      <c r="L58" s="1" t="s">
        <v>66</v>
      </c>
      <c r="M58" s="1" t="s">
        <v>72</v>
      </c>
      <c r="N58" s="1" t="s">
        <v>67</v>
      </c>
      <c r="O58" s="1" t="s">
        <v>37</v>
      </c>
      <c r="P58" s="1" t="s">
        <v>38</v>
      </c>
      <c r="Q58" s="1" t="s">
        <v>26</v>
      </c>
      <c r="R58" s="1" t="s">
        <v>27</v>
      </c>
      <c r="S58" s="1" t="s">
        <v>76</v>
      </c>
      <c r="T58" s="1" t="s">
        <v>41</v>
      </c>
      <c r="U58">
        <v>1769.35</v>
      </c>
      <c r="V58">
        <v>1483</v>
      </c>
      <c r="W58">
        <v>38639.35</v>
      </c>
      <c r="X58" s="1" t="s">
        <v>41</v>
      </c>
      <c r="Y58">
        <v>0</v>
      </c>
      <c r="Z58">
        <v>11290.85</v>
      </c>
      <c r="AA58" s="6"/>
      <c r="AB58" s="4" t="str">
        <v>International Package</v>
      </c>
      <c r="AC58" s="4" t="str">
        <v>Normal Booking</v>
      </c>
      <c r="AD58" s="4" t="str">
        <v xml:space="preserve">Not Confirmed </v>
      </c>
      <c r="AE58" s="4" t="str">
        <v>Silver</v>
      </c>
      <c r="AF58" s="4" t="str">
        <v>Family</v>
      </c>
      <c r="AG58" s="4" t="str">
        <f>IF(AND(Travel_Tourism_Booking_100_Records[[#This Row],[Booking Status]]="Confirmed",Travel_Tourism_Booking_100_Records[[#This Row],[Travelers]]&gt;=4),"Eligible","Not")</f>
        <v>Not</v>
      </c>
      <c r="AH58" s="4" t="str">
        <f>IF(AND(Travel_Tourism_Booking_100_Records[[#This Row],[Final Amount]]&gt;=75000,Travel_Tourism_Booking_100_Records[[#This Row],[Payment Mode]]="Credit Card"),"Eligible","Not Eligible")</f>
        <v>Not Eligible</v>
      </c>
      <c r="AI58" s="4" t="str">
        <f>IF(OR(Travel_Tourism_Booking_100_Records[[#This Row],[Booking Status]]="Confirmed",Travel_Tourism_Booking_100_Records[[#This Row],[Final Amount]]&gt;=150000),"High Priority","Not")</f>
        <v>Not</v>
      </c>
      <c r="AJ58" s="4" t="str">
        <f>IF(OR(Travel_Tourism_Booking_100_Records[[#This Row],[Payment Mode]]="Credit Card",Travel_Tourism_Booking_100_Records[[#This Row],[Travelers]]&gt;6),"Repeat Customer","Not Repeat")</f>
        <v>Not Repeat</v>
      </c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</row>
    <row r="59" spans="1:55" x14ac:dyDescent="0.35">
      <c r="A59" s="1" t="s">
        <v>183</v>
      </c>
      <c r="B59" s="1" t="s">
        <v>107</v>
      </c>
      <c r="C59" s="1" t="s">
        <v>70</v>
      </c>
      <c r="D59" s="1" t="s">
        <v>33</v>
      </c>
      <c r="E59" s="2">
        <v>46034</v>
      </c>
      <c r="F59" s="2">
        <v>46046</v>
      </c>
      <c r="G59">
        <v>3</v>
      </c>
      <c r="H59">
        <v>23816</v>
      </c>
      <c r="I59">
        <v>9330</v>
      </c>
      <c r="J59">
        <v>14486</v>
      </c>
      <c r="K59" s="1" t="s">
        <v>108</v>
      </c>
      <c r="L59" s="1" t="s">
        <v>21</v>
      </c>
      <c r="M59" s="1" t="s">
        <v>22</v>
      </c>
      <c r="N59" s="1" t="s">
        <v>36</v>
      </c>
      <c r="O59" s="1" t="s">
        <v>86</v>
      </c>
      <c r="P59" s="1" t="s">
        <v>25</v>
      </c>
      <c r="Q59" s="1" t="s">
        <v>39</v>
      </c>
      <c r="R59" s="1" t="s">
        <v>27</v>
      </c>
      <c r="S59" s="1" t="s">
        <v>76</v>
      </c>
      <c r="T59" s="1" t="s">
        <v>29</v>
      </c>
      <c r="U59">
        <v>724.3</v>
      </c>
      <c r="V59">
        <v>836</v>
      </c>
      <c r="W59">
        <v>16046.3</v>
      </c>
      <c r="X59" s="1" t="s">
        <v>41</v>
      </c>
      <c r="Y59">
        <v>0</v>
      </c>
      <c r="Z59">
        <v>11290.85</v>
      </c>
      <c r="AA59" s="6"/>
      <c r="AB59" s="4" t="str">
        <v>International Package</v>
      </c>
      <c r="AC59" s="4" t="str">
        <v>Normal Booking</v>
      </c>
      <c r="AD59" s="4" t="str">
        <v>Confirmed</v>
      </c>
      <c r="AE59" s="4" t="str">
        <v>Silver</v>
      </c>
      <c r="AF59" s="4" t="str">
        <v>Small Group</v>
      </c>
      <c r="AG59" s="4" t="str">
        <f>IF(AND(Travel_Tourism_Booking_100_Records[[#This Row],[Booking Status]]="Confirmed",Travel_Tourism_Booking_100_Records[[#This Row],[Travelers]]&gt;=4),"Eligible","Not")</f>
        <v>Not</v>
      </c>
      <c r="AH59" s="4" t="str">
        <f>IF(AND(Travel_Tourism_Booking_100_Records[[#This Row],[Final Amount]]&gt;=75000,Travel_Tourism_Booking_100_Records[[#This Row],[Payment Mode]]="Credit Card"),"Eligible","Not Eligible")</f>
        <v>Not Eligible</v>
      </c>
      <c r="AI59" s="4" t="str">
        <f>IF(OR(Travel_Tourism_Booking_100_Records[[#This Row],[Booking Status]]="Confirmed",Travel_Tourism_Booking_100_Records[[#This Row],[Final Amount]]&gt;=150000),"High Priority","Not")</f>
        <v>High Priority</v>
      </c>
      <c r="AJ59" s="4" t="str">
        <f>IF(OR(Travel_Tourism_Booking_100_Records[[#This Row],[Payment Mode]]="Credit Card",Travel_Tourism_Booking_100_Records[[#This Row],[Travelers]]&gt;6),"Repeat Customer","Not Repeat")</f>
        <v>Repeat Customer</v>
      </c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</row>
    <row r="60" spans="1:55" x14ac:dyDescent="0.35">
      <c r="A60" s="1" t="s">
        <v>184</v>
      </c>
      <c r="B60" s="1" t="s">
        <v>185</v>
      </c>
      <c r="C60" s="1" t="s">
        <v>61</v>
      </c>
      <c r="D60" s="1" t="s">
        <v>33</v>
      </c>
      <c r="E60" s="2">
        <v>46164</v>
      </c>
      <c r="F60" s="2">
        <v>46176</v>
      </c>
      <c r="G60">
        <v>4</v>
      </c>
      <c r="H60">
        <v>133508</v>
      </c>
      <c r="I60">
        <v>122304</v>
      </c>
      <c r="J60">
        <v>11204</v>
      </c>
      <c r="K60" s="1" t="s">
        <v>20</v>
      </c>
      <c r="L60" s="1" t="s">
        <v>66</v>
      </c>
      <c r="M60" s="1" t="s">
        <v>91</v>
      </c>
      <c r="N60" s="1" t="s">
        <v>105</v>
      </c>
      <c r="O60" s="1" t="s">
        <v>86</v>
      </c>
      <c r="P60" s="1" t="s">
        <v>38</v>
      </c>
      <c r="Q60" s="1" t="s">
        <v>39</v>
      </c>
      <c r="R60" s="1" t="s">
        <v>27</v>
      </c>
      <c r="S60" s="1" t="s">
        <v>28</v>
      </c>
      <c r="T60" s="1" t="s">
        <v>29</v>
      </c>
      <c r="U60">
        <v>560.20000000000005</v>
      </c>
      <c r="V60">
        <v>766</v>
      </c>
      <c r="W60">
        <v>12530.2</v>
      </c>
      <c r="X60" s="1" t="s">
        <v>41</v>
      </c>
      <c r="Y60">
        <v>0</v>
      </c>
      <c r="Z60">
        <v>11290.85</v>
      </c>
      <c r="AA60" s="6"/>
      <c r="AB60" s="4" t="str">
        <v>International Package</v>
      </c>
      <c r="AC60" s="4" t="str">
        <v>High Value</v>
      </c>
      <c r="AD60" s="4" t="str">
        <v xml:space="preserve">Not Confirmed </v>
      </c>
      <c r="AE60" s="4" t="str">
        <v>Silver</v>
      </c>
      <c r="AF60" s="4" t="str">
        <v>Small Group</v>
      </c>
      <c r="AG60" s="4" t="str">
        <f>IF(AND(Travel_Tourism_Booking_100_Records[[#This Row],[Booking Status]]="Confirmed",Travel_Tourism_Booking_100_Records[[#This Row],[Travelers]]&gt;=4),"Eligible","Not")</f>
        <v>Not</v>
      </c>
      <c r="AH60" s="4" t="str">
        <f>IF(AND(Travel_Tourism_Booking_100_Records[[#This Row],[Final Amount]]&gt;=75000,Travel_Tourism_Booking_100_Records[[#This Row],[Payment Mode]]="Credit Card"),"Eligible","Not Eligible")</f>
        <v>Not Eligible</v>
      </c>
      <c r="AI60" s="4" t="str">
        <f>IF(OR(Travel_Tourism_Booking_100_Records[[#This Row],[Booking Status]]="Confirmed",Travel_Tourism_Booking_100_Records[[#This Row],[Final Amount]]&gt;=150000),"High Priority","Not")</f>
        <v>Not</v>
      </c>
      <c r="AJ60" s="4" t="str">
        <f>IF(OR(Travel_Tourism_Booking_100_Records[[#This Row],[Payment Mode]]="Credit Card",Travel_Tourism_Booking_100_Records[[#This Row],[Travelers]]&gt;6),"Repeat Customer","Not Repeat")</f>
        <v>Not Repeat</v>
      </c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</row>
    <row r="61" spans="1:55" x14ac:dyDescent="0.35">
      <c r="A61" s="1" t="s">
        <v>186</v>
      </c>
      <c r="B61" s="1" t="s">
        <v>187</v>
      </c>
      <c r="C61" s="1" t="s">
        <v>18</v>
      </c>
      <c r="D61" s="1" t="s">
        <v>71</v>
      </c>
      <c r="E61" s="2">
        <v>46189</v>
      </c>
      <c r="F61" s="2">
        <v>46213</v>
      </c>
      <c r="G61">
        <v>5</v>
      </c>
      <c r="H61">
        <v>108098</v>
      </c>
      <c r="I61">
        <v>62481</v>
      </c>
      <c r="J61">
        <v>45617</v>
      </c>
      <c r="K61" s="1" t="s">
        <v>54</v>
      </c>
      <c r="L61" s="1" t="s">
        <v>82</v>
      </c>
      <c r="M61" s="1" t="s">
        <v>22</v>
      </c>
      <c r="N61" s="1" t="s">
        <v>140</v>
      </c>
      <c r="O61" s="1" t="s">
        <v>48</v>
      </c>
      <c r="P61" s="1" t="s">
        <v>75</v>
      </c>
      <c r="Q61" s="1" t="s">
        <v>26</v>
      </c>
      <c r="R61" s="1" t="s">
        <v>27</v>
      </c>
      <c r="S61" s="1" t="s">
        <v>58</v>
      </c>
      <c r="T61" s="1" t="s">
        <v>29</v>
      </c>
      <c r="U61">
        <v>2280.85</v>
      </c>
      <c r="V61">
        <v>2530</v>
      </c>
      <c r="W61">
        <v>50427.85</v>
      </c>
      <c r="X61" s="1" t="s">
        <v>29</v>
      </c>
      <c r="Y61">
        <v>2637</v>
      </c>
      <c r="Z61">
        <v>47790.85</v>
      </c>
      <c r="AA61" s="6"/>
      <c r="AB61" s="4" t="str">
        <v>International Package</v>
      </c>
      <c r="AC61" s="4" t="str">
        <v>High Value</v>
      </c>
      <c r="AD61" s="4" t="str">
        <v xml:space="preserve">Not Confirmed </v>
      </c>
      <c r="AE61" s="4" t="str">
        <v>Silver</v>
      </c>
      <c r="AF61" s="4" t="str">
        <v>Family</v>
      </c>
      <c r="AG61" s="4" t="str">
        <f>IF(AND(Travel_Tourism_Booking_100_Records[[#This Row],[Booking Status]]="Confirmed",Travel_Tourism_Booking_100_Records[[#This Row],[Travelers]]&gt;=4),"Eligible","Not")</f>
        <v>Not</v>
      </c>
      <c r="AH61" s="4" t="str">
        <f>IF(AND(Travel_Tourism_Booking_100_Records[[#This Row],[Final Amount]]&gt;=75000,Travel_Tourism_Booking_100_Records[[#This Row],[Payment Mode]]="Credit Card"),"Eligible","Not Eligible")</f>
        <v>Not Eligible</v>
      </c>
      <c r="AI61" s="4" t="str">
        <f>IF(OR(Travel_Tourism_Booking_100_Records[[#This Row],[Booking Status]]="Confirmed",Travel_Tourism_Booking_100_Records[[#This Row],[Final Amount]]&gt;=150000),"High Priority","Not")</f>
        <v>Not</v>
      </c>
      <c r="AJ61" s="4" t="str">
        <f>IF(OR(Travel_Tourism_Booking_100_Records[[#This Row],[Payment Mode]]="Credit Card",Travel_Tourism_Booking_100_Records[[#This Row],[Travelers]]&gt;6),"Repeat Customer","Not Repeat")</f>
        <v>Not Repeat</v>
      </c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</row>
    <row r="62" spans="1:55" x14ac:dyDescent="0.35">
      <c r="A62" s="1" t="s">
        <v>188</v>
      </c>
      <c r="B62" s="1" t="s">
        <v>189</v>
      </c>
      <c r="C62" s="1" t="s">
        <v>111</v>
      </c>
      <c r="D62" s="1" t="s">
        <v>45</v>
      </c>
      <c r="E62" s="2">
        <v>46182</v>
      </c>
      <c r="F62" s="2">
        <v>46191</v>
      </c>
      <c r="G62">
        <v>5</v>
      </c>
      <c r="H62">
        <v>145781</v>
      </c>
      <c r="I62">
        <v>47305</v>
      </c>
      <c r="J62">
        <v>98476</v>
      </c>
      <c r="K62" s="1" t="s">
        <v>54</v>
      </c>
      <c r="L62" s="1" t="s">
        <v>21</v>
      </c>
      <c r="M62" s="1" t="s">
        <v>35</v>
      </c>
      <c r="N62" s="1" t="s">
        <v>67</v>
      </c>
      <c r="O62" s="1" t="s">
        <v>74</v>
      </c>
      <c r="P62" s="1" t="s">
        <v>75</v>
      </c>
      <c r="Q62" s="1" t="s">
        <v>26</v>
      </c>
      <c r="R62" s="1" t="s">
        <v>27</v>
      </c>
      <c r="S62" s="1" t="s">
        <v>58</v>
      </c>
      <c r="T62" s="1" t="s">
        <v>29</v>
      </c>
      <c r="U62">
        <v>4923.8</v>
      </c>
      <c r="V62">
        <v>751</v>
      </c>
      <c r="W62">
        <v>104150.8</v>
      </c>
      <c r="X62" s="1" t="s">
        <v>41</v>
      </c>
      <c r="Y62">
        <v>0</v>
      </c>
      <c r="Z62">
        <v>47790.85</v>
      </c>
      <c r="AA62" s="6"/>
      <c r="AB62" s="4" t="str">
        <v>International Package</v>
      </c>
      <c r="AC62" s="4" t="str">
        <v>High Value</v>
      </c>
      <c r="AD62" s="4" t="str">
        <v>Confirmed</v>
      </c>
      <c r="AE62" s="4" t="str">
        <v>Gold</v>
      </c>
      <c r="AF62" s="4" t="str">
        <v>Family</v>
      </c>
      <c r="AG62" s="4" t="str">
        <f>IF(AND(Travel_Tourism_Booking_100_Records[[#This Row],[Booking Status]]="Confirmed",Travel_Tourism_Booking_100_Records[[#This Row],[Travelers]]&gt;=4),"Eligible","Not")</f>
        <v>Eligible</v>
      </c>
      <c r="AH62" s="4" t="str">
        <f>IF(AND(Travel_Tourism_Booking_100_Records[[#This Row],[Final Amount]]&gt;=75000,Travel_Tourism_Booking_100_Records[[#This Row],[Payment Mode]]="Credit Card"),"Eligible","Not Eligible")</f>
        <v>Not Eligible</v>
      </c>
      <c r="AI62" s="4" t="str">
        <f>IF(OR(Travel_Tourism_Booking_100_Records[[#This Row],[Booking Status]]="Confirmed",Travel_Tourism_Booking_100_Records[[#This Row],[Final Amount]]&gt;=150000),"High Priority","Not")</f>
        <v>High Priority</v>
      </c>
      <c r="AJ62" s="4" t="str">
        <f>IF(OR(Travel_Tourism_Booking_100_Records[[#This Row],[Payment Mode]]="Credit Card",Travel_Tourism_Booking_100_Records[[#This Row],[Travelers]]&gt;6),"Repeat Customer","Not Repeat")</f>
        <v>Not Repeat</v>
      </c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</row>
    <row r="63" spans="1:55" x14ac:dyDescent="0.35">
      <c r="A63" s="1" t="s">
        <v>190</v>
      </c>
      <c r="B63" s="1" t="s">
        <v>191</v>
      </c>
      <c r="C63" s="1" t="s">
        <v>32</v>
      </c>
      <c r="D63" s="1" t="s">
        <v>71</v>
      </c>
      <c r="E63" s="2">
        <v>46040</v>
      </c>
      <c r="F63" s="2">
        <v>46084</v>
      </c>
      <c r="G63">
        <v>4</v>
      </c>
      <c r="H63">
        <v>115145</v>
      </c>
      <c r="I63">
        <v>149413</v>
      </c>
      <c r="J63">
        <v>-34268</v>
      </c>
      <c r="K63" s="1" t="s">
        <v>20</v>
      </c>
      <c r="L63" s="1" t="s">
        <v>21</v>
      </c>
      <c r="M63" s="1" t="s">
        <v>35</v>
      </c>
      <c r="N63" s="1" t="s">
        <v>47</v>
      </c>
      <c r="O63" s="1" t="s">
        <v>55</v>
      </c>
      <c r="P63" s="1" t="s">
        <v>38</v>
      </c>
      <c r="Q63" s="1" t="s">
        <v>56</v>
      </c>
      <c r="R63" s="1" t="s">
        <v>40</v>
      </c>
      <c r="S63" s="1" t="s">
        <v>76</v>
      </c>
      <c r="T63" s="1" t="s">
        <v>41</v>
      </c>
      <c r="U63">
        <v>-1713.4</v>
      </c>
      <c r="V63">
        <v>2483</v>
      </c>
      <c r="W63">
        <v>-33498.400000000001</v>
      </c>
      <c r="X63" s="1" t="s">
        <v>41</v>
      </c>
      <c r="Y63">
        <v>0</v>
      </c>
      <c r="Z63">
        <v>47790.85</v>
      </c>
      <c r="AA63" s="6"/>
      <c r="AB63" s="4" t="str">
        <v>International Package</v>
      </c>
      <c r="AC63" s="4" t="str">
        <v>High Value</v>
      </c>
      <c r="AD63" s="4" t="str">
        <v>Confirmed</v>
      </c>
      <c r="AE63" s="4" t="str">
        <v>Silver</v>
      </c>
      <c r="AF63" s="4" t="str">
        <v>Small Group</v>
      </c>
      <c r="AG63" s="4" t="str">
        <f>IF(AND(Travel_Tourism_Booking_100_Records[[#This Row],[Booking Status]]="Confirmed",Travel_Tourism_Booking_100_Records[[#This Row],[Travelers]]&gt;=4),"Eligible","Not")</f>
        <v>Eligible</v>
      </c>
      <c r="AH63" s="4" t="str">
        <f>IF(AND(Travel_Tourism_Booking_100_Records[[#This Row],[Final Amount]]&gt;=75000,Travel_Tourism_Booking_100_Records[[#This Row],[Payment Mode]]="Credit Card"),"Eligible","Not Eligible")</f>
        <v>Not Eligible</v>
      </c>
      <c r="AI63" s="4" t="str">
        <f>IF(OR(Travel_Tourism_Booking_100_Records[[#This Row],[Booking Status]]="Confirmed",Travel_Tourism_Booking_100_Records[[#This Row],[Final Amount]]&gt;=150000),"High Priority","Not")</f>
        <v>High Priority</v>
      </c>
      <c r="AJ63" s="4" t="str">
        <f>IF(OR(Travel_Tourism_Booking_100_Records[[#This Row],[Payment Mode]]="Credit Card",Travel_Tourism_Booking_100_Records[[#This Row],[Travelers]]&gt;6),"Repeat Customer","Not Repeat")</f>
        <v>Not Repeat</v>
      </c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</row>
    <row r="64" spans="1:55" x14ac:dyDescent="0.35">
      <c r="A64" s="1" t="s">
        <v>192</v>
      </c>
      <c r="B64" s="1" t="s">
        <v>193</v>
      </c>
      <c r="C64" s="1" t="s">
        <v>44</v>
      </c>
      <c r="D64" s="1" t="s">
        <v>19</v>
      </c>
      <c r="E64" s="2">
        <v>46100</v>
      </c>
      <c r="F64" s="2">
        <v>46121</v>
      </c>
      <c r="G64">
        <v>1</v>
      </c>
      <c r="H64">
        <v>141787</v>
      </c>
      <c r="I64">
        <v>71252</v>
      </c>
      <c r="J64">
        <v>70535</v>
      </c>
      <c r="K64" s="1" t="s">
        <v>79</v>
      </c>
      <c r="L64" s="1" t="s">
        <v>66</v>
      </c>
      <c r="M64" s="1" t="s">
        <v>91</v>
      </c>
      <c r="N64" s="1" t="s">
        <v>62</v>
      </c>
      <c r="O64" s="1" t="s">
        <v>74</v>
      </c>
      <c r="P64" s="1" t="s">
        <v>75</v>
      </c>
      <c r="Q64" s="1" t="s">
        <v>26</v>
      </c>
      <c r="R64" s="1" t="s">
        <v>27</v>
      </c>
      <c r="S64" s="1" t="s">
        <v>76</v>
      </c>
      <c r="T64" s="1" t="s">
        <v>29</v>
      </c>
      <c r="U64">
        <v>3526.75</v>
      </c>
      <c r="V64">
        <v>2848</v>
      </c>
      <c r="W64">
        <v>76909.75</v>
      </c>
      <c r="X64" s="1" t="s">
        <v>29</v>
      </c>
      <c r="Y64">
        <v>2444</v>
      </c>
      <c r="Z64">
        <v>74465.75</v>
      </c>
      <c r="AA64" s="6"/>
      <c r="AB64" s="4" t="str">
        <v>International Package</v>
      </c>
      <c r="AC64" s="4" t="str">
        <v>High Value</v>
      </c>
      <c r="AD64" s="4" t="str">
        <v xml:space="preserve">Not Confirmed </v>
      </c>
      <c r="AE64" s="4" t="str">
        <v>Gold</v>
      </c>
      <c r="AF64" s="4" t="str">
        <v>Solo</v>
      </c>
      <c r="AG64" s="4" t="str">
        <f>IF(AND(Travel_Tourism_Booking_100_Records[[#This Row],[Booking Status]]="Confirmed",Travel_Tourism_Booking_100_Records[[#This Row],[Travelers]]&gt;=4),"Eligible","Not")</f>
        <v>Not</v>
      </c>
      <c r="AH64" s="4" t="str">
        <f>IF(AND(Travel_Tourism_Booking_100_Records[[#This Row],[Final Amount]]&gt;=75000,Travel_Tourism_Booking_100_Records[[#This Row],[Payment Mode]]="Credit Card"),"Eligible","Not Eligible")</f>
        <v>Not Eligible</v>
      </c>
      <c r="AI64" s="4" t="str">
        <f>IF(OR(Travel_Tourism_Booking_100_Records[[#This Row],[Booking Status]]="Confirmed",Travel_Tourism_Booking_100_Records[[#This Row],[Final Amount]]&gt;=150000),"High Priority","Not")</f>
        <v>Not</v>
      </c>
      <c r="AJ64" s="4" t="str">
        <f>IF(OR(Travel_Tourism_Booking_100_Records[[#This Row],[Payment Mode]]="Credit Card",Travel_Tourism_Booking_100_Records[[#This Row],[Travelers]]&gt;6),"Repeat Customer","Not Repeat")</f>
        <v>Not Repeat</v>
      </c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</row>
    <row r="65" spans="1:55" x14ac:dyDescent="0.35">
      <c r="A65" s="1" t="s">
        <v>194</v>
      </c>
      <c r="B65" s="1" t="s">
        <v>110</v>
      </c>
      <c r="C65" s="1" t="s">
        <v>44</v>
      </c>
      <c r="D65" s="1" t="s">
        <v>33</v>
      </c>
      <c r="E65" s="2">
        <v>46054</v>
      </c>
      <c r="F65" s="2">
        <v>46106</v>
      </c>
      <c r="G65">
        <v>4</v>
      </c>
      <c r="H65">
        <v>45836</v>
      </c>
      <c r="I65">
        <v>52749</v>
      </c>
      <c r="J65">
        <v>-6913</v>
      </c>
      <c r="K65" s="1" t="s">
        <v>34</v>
      </c>
      <c r="L65" s="1" t="s">
        <v>21</v>
      </c>
      <c r="M65" s="1" t="s">
        <v>91</v>
      </c>
      <c r="N65" s="1" t="s">
        <v>62</v>
      </c>
      <c r="O65" s="1" t="s">
        <v>24</v>
      </c>
      <c r="P65" s="1" t="s">
        <v>25</v>
      </c>
      <c r="Q65" s="1" t="s">
        <v>26</v>
      </c>
      <c r="R65" s="1" t="s">
        <v>27</v>
      </c>
      <c r="S65" s="1" t="s">
        <v>50</v>
      </c>
      <c r="T65" s="1" t="s">
        <v>29</v>
      </c>
      <c r="U65">
        <v>-345.65</v>
      </c>
      <c r="V65">
        <v>2758</v>
      </c>
      <c r="W65">
        <v>-4500.6499999999996</v>
      </c>
      <c r="X65" s="1" t="s">
        <v>41</v>
      </c>
      <c r="Y65">
        <v>0</v>
      </c>
      <c r="Z65">
        <v>74465.75</v>
      </c>
      <c r="AA65" s="6"/>
      <c r="AB65" s="4" t="str">
        <v>International Package</v>
      </c>
      <c r="AC65" s="4" t="str">
        <v>Normal Booking</v>
      </c>
      <c r="AD65" s="4" t="str">
        <v>Confirmed</v>
      </c>
      <c r="AE65" s="4" t="str">
        <v>Silver</v>
      </c>
      <c r="AF65" s="4" t="str">
        <v>Small Group</v>
      </c>
      <c r="AG65" s="4" t="str">
        <f>IF(AND(Travel_Tourism_Booking_100_Records[[#This Row],[Booking Status]]="Confirmed",Travel_Tourism_Booking_100_Records[[#This Row],[Travelers]]&gt;=4),"Eligible","Not")</f>
        <v>Eligible</v>
      </c>
      <c r="AH65" s="4" t="str">
        <f>IF(AND(Travel_Tourism_Booking_100_Records[[#This Row],[Final Amount]]&gt;=75000,Travel_Tourism_Booking_100_Records[[#This Row],[Payment Mode]]="Credit Card"),"Eligible","Not Eligible")</f>
        <v>Not Eligible</v>
      </c>
      <c r="AI65" s="4" t="str">
        <f>IF(OR(Travel_Tourism_Booking_100_Records[[#This Row],[Booking Status]]="Confirmed",Travel_Tourism_Booking_100_Records[[#This Row],[Final Amount]]&gt;=150000),"High Priority","Not")</f>
        <v>High Priority</v>
      </c>
      <c r="AJ65" s="4" t="str">
        <f>IF(OR(Travel_Tourism_Booking_100_Records[[#This Row],[Payment Mode]]="Credit Card",Travel_Tourism_Booking_100_Records[[#This Row],[Travelers]]&gt;6),"Repeat Customer","Not Repeat")</f>
        <v>Not Repeat</v>
      </c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</row>
    <row r="66" spans="1:55" x14ac:dyDescent="0.35">
      <c r="A66" s="1" t="s">
        <v>195</v>
      </c>
      <c r="B66" s="1" t="s">
        <v>43</v>
      </c>
      <c r="C66" s="1" t="s">
        <v>18</v>
      </c>
      <c r="D66" s="1" t="s">
        <v>71</v>
      </c>
      <c r="E66" s="2">
        <v>46036</v>
      </c>
      <c r="F66" s="2">
        <v>46048</v>
      </c>
      <c r="G66">
        <v>4</v>
      </c>
      <c r="H66">
        <v>100988</v>
      </c>
      <c r="I66">
        <v>93315</v>
      </c>
      <c r="J66">
        <v>7673</v>
      </c>
      <c r="K66" s="1" t="s">
        <v>54</v>
      </c>
      <c r="L66" s="1" t="s">
        <v>21</v>
      </c>
      <c r="M66" s="1" t="s">
        <v>46</v>
      </c>
      <c r="N66" s="1" t="s">
        <v>105</v>
      </c>
      <c r="O66" s="1" t="s">
        <v>24</v>
      </c>
      <c r="P66" s="1" t="s">
        <v>49</v>
      </c>
      <c r="Q66" s="1" t="s">
        <v>26</v>
      </c>
      <c r="R66" s="1" t="s">
        <v>27</v>
      </c>
      <c r="S66" s="1" t="s">
        <v>50</v>
      </c>
      <c r="T66" s="1" t="s">
        <v>41</v>
      </c>
      <c r="U66">
        <v>383.65</v>
      </c>
      <c r="V66">
        <v>2019</v>
      </c>
      <c r="W66">
        <v>10075.65</v>
      </c>
      <c r="X66" s="1" t="s">
        <v>41</v>
      </c>
      <c r="Y66">
        <v>0</v>
      </c>
      <c r="Z66">
        <v>74465.75</v>
      </c>
      <c r="AA66" s="6"/>
      <c r="AB66" s="4" t="str">
        <v>International Package</v>
      </c>
      <c r="AC66" s="4" t="str">
        <v>High Value</v>
      </c>
      <c r="AD66" s="4" t="str">
        <v>Confirmed</v>
      </c>
      <c r="AE66" s="4" t="str">
        <v>Silver</v>
      </c>
      <c r="AF66" s="4" t="str">
        <v>Small Group</v>
      </c>
      <c r="AG66" s="4" t="str">
        <f>IF(AND(Travel_Tourism_Booking_100_Records[[#This Row],[Booking Status]]="Confirmed",Travel_Tourism_Booking_100_Records[[#This Row],[Travelers]]&gt;=4),"Eligible","Not")</f>
        <v>Eligible</v>
      </c>
      <c r="AH66" s="4" t="str">
        <f>IF(AND(Travel_Tourism_Booking_100_Records[[#This Row],[Final Amount]]&gt;=75000,Travel_Tourism_Booking_100_Records[[#This Row],[Payment Mode]]="Credit Card"),"Eligible","Not Eligible")</f>
        <v>Not Eligible</v>
      </c>
      <c r="AI66" s="4" t="str">
        <f>IF(OR(Travel_Tourism_Booking_100_Records[[#This Row],[Booking Status]]="Confirmed",Travel_Tourism_Booking_100_Records[[#This Row],[Final Amount]]&gt;=150000),"High Priority","Not")</f>
        <v>High Priority</v>
      </c>
      <c r="AJ66" s="4" t="str">
        <f>IF(OR(Travel_Tourism_Booking_100_Records[[#This Row],[Payment Mode]]="Credit Card",Travel_Tourism_Booking_100_Records[[#This Row],[Travelers]]&gt;6),"Repeat Customer","Not Repeat")</f>
        <v>Not Repeat</v>
      </c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</row>
    <row r="67" spans="1:55" x14ac:dyDescent="0.35">
      <c r="A67" s="1" t="s">
        <v>196</v>
      </c>
      <c r="B67" s="1" t="s">
        <v>138</v>
      </c>
      <c r="C67" s="1" t="s">
        <v>61</v>
      </c>
      <c r="D67" s="1" t="s">
        <v>33</v>
      </c>
      <c r="E67" s="2">
        <v>46098</v>
      </c>
      <c r="F67" s="2">
        <v>46148</v>
      </c>
      <c r="G67">
        <v>4</v>
      </c>
      <c r="H67">
        <v>97148</v>
      </c>
      <c r="I67">
        <v>68480</v>
      </c>
      <c r="J67">
        <v>28668</v>
      </c>
      <c r="K67" s="1" t="s">
        <v>54</v>
      </c>
      <c r="L67" s="1" t="s">
        <v>66</v>
      </c>
      <c r="M67" s="1" t="s">
        <v>35</v>
      </c>
      <c r="N67" s="1" t="s">
        <v>105</v>
      </c>
      <c r="O67" s="1" t="s">
        <v>48</v>
      </c>
      <c r="P67" s="1" t="s">
        <v>38</v>
      </c>
      <c r="Q67" s="1" t="s">
        <v>26</v>
      </c>
      <c r="R67" s="1" t="s">
        <v>40</v>
      </c>
      <c r="S67" s="1" t="s">
        <v>50</v>
      </c>
      <c r="T67" s="1" t="s">
        <v>41</v>
      </c>
      <c r="U67">
        <v>1433.4</v>
      </c>
      <c r="V67">
        <v>2885</v>
      </c>
      <c r="W67">
        <v>32986.400000000001</v>
      </c>
      <c r="X67" s="1" t="s">
        <v>41</v>
      </c>
      <c r="Y67">
        <v>0</v>
      </c>
      <c r="Z67">
        <v>74465.75</v>
      </c>
      <c r="AA67" s="6"/>
      <c r="AB67" s="4" t="str">
        <v>International Package</v>
      </c>
      <c r="AC67" s="4" t="str">
        <v>Normal Booking</v>
      </c>
      <c r="AD67" s="4" t="str">
        <v xml:space="preserve">Not Confirmed </v>
      </c>
      <c r="AE67" s="4" t="str">
        <v>Silver</v>
      </c>
      <c r="AF67" s="4" t="str">
        <v>Small Group</v>
      </c>
      <c r="AG67" s="4" t="str">
        <f>IF(AND(Travel_Tourism_Booking_100_Records[[#This Row],[Booking Status]]="Confirmed",Travel_Tourism_Booking_100_Records[[#This Row],[Travelers]]&gt;=4),"Eligible","Not")</f>
        <v>Not</v>
      </c>
      <c r="AH67" s="4" t="str">
        <f>IF(AND(Travel_Tourism_Booking_100_Records[[#This Row],[Final Amount]]&gt;=75000,Travel_Tourism_Booking_100_Records[[#This Row],[Payment Mode]]="Credit Card"),"Eligible","Not Eligible")</f>
        <v>Not Eligible</v>
      </c>
      <c r="AI67" s="4" t="str">
        <f>IF(OR(Travel_Tourism_Booking_100_Records[[#This Row],[Booking Status]]="Confirmed",Travel_Tourism_Booking_100_Records[[#This Row],[Final Amount]]&gt;=150000),"High Priority","Not")</f>
        <v>Not</v>
      </c>
      <c r="AJ67" s="4" t="str">
        <f>IF(OR(Travel_Tourism_Booking_100_Records[[#This Row],[Payment Mode]]="Credit Card",Travel_Tourism_Booking_100_Records[[#This Row],[Travelers]]&gt;6),"Repeat Customer","Not Repeat")</f>
        <v>Not Repeat</v>
      </c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</row>
    <row r="68" spans="1:55" x14ac:dyDescent="0.35">
      <c r="A68" s="1" t="s">
        <v>197</v>
      </c>
      <c r="B68" s="1" t="s">
        <v>198</v>
      </c>
      <c r="C68" s="1" t="s">
        <v>103</v>
      </c>
      <c r="D68" s="1" t="s">
        <v>19</v>
      </c>
      <c r="E68" s="2">
        <v>46064</v>
      </c>
      <c r="F68" s="2">
        <v>46079</v>
      </c>
      <c r="G68">
        <v>4</v>
      </c>
      <c r="H68">
        <v>40679</v>
      </c>
      <c r="I68">
        <v>99495</v>
      </c>
      <c r="J68">
        <v>-58816</v>
      </c>
      <c r="K68" s="1" t="s">
        <v>54</v>
      </c>
      <c r="L68" s="1" t="s">
        <v>82</v>
      </c>
      <c r="M68" s="1" t="s">
        <v>72</v>
      </c>
      <c r="N68" s="1" t="s">
        <v>62</v>
      </c>
      <c r="O68" s="1" t="s">
        <v>86</v>
      </c>
      <c r="P68" s="1" t="s">
        <v>38</v>
      </c>
      <c r="Q68" s="1" t="s">
        <v>39</v>
      </c>
      <c r="R68" s="1" t="s">
        <v>27</v>
      </c>
      <c r="S68" s="1" t="s">
        <v>50</v>
      </c>
      <c r="T68" s="1" t="s">
        <v>29</v>
      </c>
      <c r="U68">
        <v>-2940.8</v>
      </c>
      <c r="V68">
        <v>1181</v>
      </c>
      <c r="W68">
        <v>-60575.8</v>
      </c>
      <c r="X68" s="1" t="s">
        <v>29</v>
      </c>
      <c r="Y68">
        <v>2239</v>
      </c>
      <c r="Z68">
        <v>-62814.8</v>
      </c>
      <c r="AA68" s="6"/>
      <c r="AB68" s="4" t="str">
        <v>International Package</v>
      </c>
      <c r="AC68" s="4" t="str">
        <v>Normal Booking</v>
      </c>
      <c r="AD68" s="4" t="str">
        <v xml:space="preserve">Not Confirmed </v>
      </c>
      <c r="AE68" s="4" t="str">
        <v>Silver</v>
      </c>
      <c r="AF68" s="4" t="str">
        <v>Small Group</v>
      </c>
      <c r="AG68" s="4" t="str">
        <f>IF(AND(Travel_Tourism_Booking_100_Records[[#This Row],[Booking Status]]="Confirmed",Travel_Tourism_Booking_100_Records[[#This Row],[Travelers]]&gt;=4),"Eligible","Not")</f>
        <v>Not</v>
      </c>
      <c r="AH68" s="4" t="str">
        <f>IF(AND(Travel_Tourism_Booking_100_Records[[#This Row],[Final Amount]]&gt;=75000,Travel_Tourism_Booking_100_Records[[#This Row],[Payment Mode]]="Credit Card"),"Eligible","Not Eligible")</f>
        <v>Not Eligible</v>
      </c>
      <c r="AI68" s="4" t="str">
        <f>IF(OR(Travel_Tourism_Booking_100_Records[[#This Row],[Booking Status]]="Confirmed",Travel_Tourism_Booking_100_Records[[#This Row],[Final Amount]]&gt;=150000),"High Priority","Not")</f>
        <v>Not</v>
      </c>
      <c r="AJ68" s="4" t="str">
        <f>IF(OR(Travel_Tourism_Booking_100_Records[[#This Row],[Payment Mode]]="Credit Card",Travel_Tourism_Booking_100_Records[[#This Row],[Travelers]]&gt;6),"Repeat Customer","Not Repeat")</f>
        <v>Not Repeat</v>
      </c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</row>
    <row r="69" spans="1:55" x14ac:dyDescent="0.35">
      <c r="A69" s="1" t="s">
        <v>199</v>
      </c>
      <c r="B69" s="1" t="s">
        <v>200</v>
      </c>
      <c r="C69" s="1" t="s">
        <v>32</v>
      </c>
      <c r="D69" s="1" t="s">
        <v>96</v>
      </c>
      <c r="E69" s="2">
        <v>46137</v>
      </c>
      <c r="F69" s="2">
        <v>46179</v>
      </c>
      <c r="G69">
        <v>4</v>
      </c>
      <c r="H69">
        <v>126384</v>
      </c>
      <c r="I69">
        <v>74066</v>
      </c>
      <c r="J69">
        <v>52318</v>
      </c>
      <c r="K69" s="1" t="s">
        <v>54</v>
      </c>
      <c r="L69" s="1" t="s">
        <v>82</v>
      </c>
      <c r="M69" s="1" t="s">
        <v>35</v>
      </c>
      <c r="N69" s="1" t="s">
        <v>105</v>
      </c>
      <c r="O69" s="1" t="s">
        <v>74</v>
      </c>
      <c r="P69" s="1" t="s">
        <v>38</v>
      </c>
      <c r="Q69" s="1" t="s">
        <v>26</v>
      </c>
      <c r="R69" s="1" t="s">
        <v>40</v>
      </c>
      <c r="S69" s="1" t="s">
        <v>50</v>
      </c>
      <c r="T69" s="1" t="s">
        <v>29</v>
      </c>
      <c r="U69">
        <v>2615.9</v>
      </c>
      <c r="V69">
        <v>1319</v>
      </c>
      <c r="W69">
        <v>56252.9</v>
      </c>
      <c r="X69" s="1" t="s">
        <v>29</v>
      </c>
      <c r="Y69">
        <v>1132</v>
      </c>
      <c r="Z69">
        <v>55120.9</v>
      </c>
      <c r="AA69" s="6"/>
      <c r="AB69" s="4" t="str">
        <v>International Package</v>
      </c>
      <c r="AC69" s="4" t="str">
        <v>High Value</v>
      </c>
      <c r="AD69" s="4" t="str">
        <v xml:space="preserve">Not Confirmed </v>
      </c>
      <c r="AE69" s="4" t="str">
        <v>Gold</v>
      </c>
      <c r="AF69" s="4" t="str">
        <v>Small Group</v>
      </c>
      <c r="AG69" s="4" t="str">
        <f>IF(AND(Travel_Tourism_Booking_100_Records[[#This Row],[Booking Status]]="Confirmed",Travel_Tourism_Booking_100_Records[[#This Row],[Travelers]]&gt;=4),"Eligible","Not")</f>
        <v>Not</v>
      </c>
      <c r="AH69" s="4" t="str">
        <f>IF(AND(Travel_Tourism_Booking_100_Records[[#This Row],[Final Amount]]&gt;=75000,Travel_Tourism_Booking_100_Records[[#This Row],[Payment Mode]]="Credit Card"),"Eligible","Not Eligible")</f>
        <v>Not Eligible</v>
      </c>
      <c r="AI69" s="4" t="str">
        <f>IF(OR(Travel_Tourism_Booking_100_Records[[#This Row],[Booking Status]]="Confirmed",Travel_Tourism_Booking_100_Records[[#This Row],[Final Amount]]&gt;=150000),"High Priority","Not")</f>
        <v>Not</v>
      </c>
      <c r="AJ69" s="4" t="str">
        <f>IF(OR(Travel_Tourism_Booking_100_Records[[#This Row],[Payment Mode]]="Credit Card",Travel_Tourism_Booking_100_Records[[#This Row],[Travelers]]&gt;6),"Repeat Customer","Not Repeat")</f>
        <v>Not Repeat</v>
      </c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</row>
    <row r="70" spans="1:55" x14ac:dyDescent="0.35">
      <c r="A70" s="1" t="s">
        <v>201</v>
      </c>
      <c r="B70" s="1" t="s">
        <v>202</v>
      </c>
      <c r="C70" s="1" t="s">
        <v>18</v>
      </c>
      <c r="D70" s="1" t="s">
        <v>71</v>
      </c>
      <c r="E70" s="2">
        <v>46164</v>
      </c>
      <c r="F70" s="2">
        <v>46183</v>
      </c>
      <c r="G70">
        <v>3</v>
      </c>
      <c r="H70">
        <v>19533</v>
      </c>
      <c r="I70">
        <v>118231</v>
      </c>
      <c r="J70">
        <v>-98698</v>
      </c>
      <c r="K70" s="1" t="s">
        <v>108</v>
      </c>
      <c r="L70" s="1" t="s">
        <v>82</v>
      </c>
      <c r="M70" s="1" t="s">
        <v>72</v>
      </c>
      <c r="N70" s="1" t="s">
        <v>67</v>
      </c>
      <c r="O70" s="1" t="s">
        <v>86</v>
      </c>
      <c r="P70" s="1" t="s">
        <v>25</v>
      </c>
      <c r="Q70" s="1" t="s">
        <v>56</v>
      </c>
      <c r="R70" s="1" t="s">
        <v>40</v>
      </c>
      <c r="S70" s="1" t="s">
        <v>58</v>
      </c>
      <c r="T70" s="1" t="s">
        <v>29</v>
      </c>
      <c r="U70">
        <v>-4934.8999999999996</v>
      </c>
      <c r="V70">
        <v>2240</v>
      </c>
      <c r="W70">
        <v>-101392.9</v>
      </c>
      <c r="X70" s="1" t="s">
        <v>29</v>
      </c>
      <c r="Y70">
        <v>2112</v>
      </c>
      <c r="Z70">
        <v>-103504.9</v>
      </c>
      <c r="AA70" s="6"/>
      <c r="AB70" s="4" t="str">
        <v>International Package</v>
      </c>
      <c r="AC70" s="4" t="str">
        <v>Normal Booking</v>
      </c>
      <c r="AD70" s="4" t="str">
        <v xml:space="preserve">Not Confirmed </v>
      </c>
      <c r="AE70" s="4" t="str">
        <v>Silver</v>
      </c>
      <c r="AF70" s="4" t="str">
        <v>Small Group</v>
      </c>
      <c r="AG70" s="4" t="str">
        <f>IF(AND(Travel_Tourism_Booking_100_Records[[#This Row],[Booking Status]]="Confirmed",Travel_Tourism_Booking_100_Records[[#This Row],[Travelers]]&gt;=4),"Eligible","Not")</f>
        <v>Not</v>
      </c>
      <c r="AH70" s="4" t="str">
        <f>IF(AND(Travel_Tourism_Booking_100_Records[[#This Row],[Final Amount]]&gt;=75000,Travel_Tourism_Booking_100_Records[[#This Row],[Payment Mode]]="Credit Card"),"Eligible","Not Eligible")</f>
        <v>Not Eligible</v>
      </c>
      <c r="AI70" s="4" t="str">
        <f>IF(OR(Travel_Tourism_Booking_100_Records[[#This Row],[Booking Status]]="Confirmed",Travel_Tourism_Booking_100_Records[[#This Row],[Final Amount]]&gt;=150000),"High Priority","Not")</f>
        <v>Not</v>
      </c>
      <c r="AJ70" s="4" t="str">
        <f>IF(OR(Travel_Tourism_Booking_100_Records[[#This Row],[Payment Mode]]="Credit Card",Travel_Tourism_Booking_100_Records[[#This Row],[Travelers]]&gt;6),"Repeat Customer","Not Repeat")</f>
        <v>Repeat Customer</v>
      </c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</row>
    <row r="71" spans="1:55" x14ac:dyDescent="0.35">
      <c r="A71" s="1" t="s">
        <v>203</v>
      </c>
      <c r="B71" s="1" t="s">
        <v>204</v>
      </c>
      <c r="C71" s="1" t="s">
        <v>95</v>
      </c>
      <c r="D71" s="1" t="s">
        <v>19</v>
      </c>
      <c r="E71" s="2">
        <v>46147</v>
      </c>
      <c r="F71" s="2">
        <v>46164</v>
      </c>
      <c r="G71">
        <v>6</v>
      </c>
      <c r="H71">
        <v>42090</v>
      </c>
      <c r="I71">
        <v>133497</v>
      </c>
      <c r="J71">
        <v>-91407</v>
      </c>
      <c r="K71" s="1" t="s">
        <v>54</v>
      </c>
      <c r="L71" s="1" t="s">
        <v>21</v>
      </c>
      <c r="M71" s="1" t="s">
        <v>46</v>
      </c>
      <c r="N71" s="1" t="s">
        <v>105</v>
      </c>
      <c r="O71" s="1" t="s">
        <v>24</v>
      </c>
      <c r="P71" s="1" t="s">
        <v>75</v>
      </c>
      <c r="Q71" s="1" t="s">
        <v>26</v>
      </c>
      <c r="R71" s="1" t="s">
        <v>57</v>
      </c>
      <c r="S71" s="1" t="s">
        <v>76</v>
      </c>
      <c r="T71" s="1" t="s">
        <v>29</v>
      </c>
      <c r="U71">
        <v>-4570.3500000000004</v>
      </c>
      <c r="V71">
        <v>2956</v>
      </c>
      <c r="W71">
        <v>-93021.35</v>
      </c>
      <c r="X71" s="1" t="s">
        <v>29</v>
      </c>
      <c r="Y71">
        <v>2502</v>
      </c>
      <c r="Z71">
        <v>-95523.35</v>
      </c>
      <c r="AA71" s="6"/>
      <c r="AB71" s="4" t="str">
        <v>Domestic Package</v>
      </c>
      <c r="AC71" s="4" t="str">
        <v>Normal Booking</v>
      </c>
      <c r="AD71" s="4" t="str">
        <v>Confirmed</v>
      </c>
      <c r="AE71" s="4" t="str">
        <v>Silver</v>
      </c>
      <c r="AF71" s="4" t="str">
        <v>Family</v>
      </c>
      <c r="AG71" s="4" t="str">
        <f>IF(AND(Travel_Tourism_Booking_100_Records[[#This Row],[Booking Status]]="Confirmed",Travel_Tourism_Booking_100_Records[[#This Row],[Travelers]]&gt;=4),"Eligible","Not")</f>
        <v>Eligible</v>
      </c>
      <c r="AH71" s="4" t="str">
        <f>IF(AND(Travel_Tourism_Booking_100_Records[[#This Row],[Final Amount]]&gt;=75000,Travel_Tourism_Booking_100_Records[[#This Row],[Payment Mode]]="Credit Card"),"Eligible","Not Eligible")</f>
        <v>Not Eligible</v>
      </c>
      <c r="AI71" s="4" t="str">
        <f>IF(OR(Travel_Tourism_Booking_100_Records[[#This Row],[Booking Status]]="Confirmed",Travel_Tourism_Booking_100_Records[[#This Row],[Final Amount]]&gt;=150000),"High Priority","Not")</f>
        <v>High Priority</v>
      </c>
      <c r="AJ71" s="4" t="str">
        <f>IF(OR(Travel_Tourism_Booking_100_Records[[#This Row],[Payment Mode]]="Credit Card",Travel_Tourism_Booking_100_Records[[#This Row],[Travelers]]&gt;6),"Repeat Customer","Not Repeat")</f>
        <v>Not Repeat</v>
      </c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</row>
    <row r="72" spans="1:55" x14ac:dyDescent="0.35">
      <c r="A72" s="1" t="s">
        <v>205</v>
      </c>
      <c r="B72" s="1" t="s">
        <v>206</v>
      </c>
      <c r="C72" s="1" t="s">
        <v>85</v>
      </c>
      <c r="D72" s="1" t="s">
        <v>96</v>
      </c>
      <c r="E72" s="2">
        <v>46178</v>
      </c>
      <c r="F72" s="2">
        <v>46195</v>
      </c>
      <c r="G72">
        <v>3</v>
      </c>
      <c r="H72">
        <v>124068</v>
      </c>
      <c r="I72">
        <v>94294</v>
      </c>
      <c r="J72">
        <v>29774</v>
      </c>
      <c r="K72" s="1" t="s">
        <v>108</v>
      </c>
      <c r="L72" s="1" t="s">
        <v>66</v>
      </c>
      <c r="M72" s="1" t="s">
        <v>22</v>
      </c>
      <c r="N72" s="1" t="s">
        <v>140</v>
      </c>
      <c r="O72" s="1" t="s">
        <v>74</v>
      </c>
      <c r="P72" s="1" t="s">
        <v>38</v>
      </c>
      <c r="Q72" s="1" t="s">
        <v>39</v>
      </c>
      <c r="R72" s="1" t="s">
        <v>27</v>
      </c>
      <c r="S72" s="1" t="s">
        <v>76</v>
      </c>
      <c r="T72" s="1" t="s">
        <v>29</v>
      </c>
      <c r="U72">
        <v>1488.7</v>
      </c>
      <c r="V72">
        <v>1409</v>
      </c>
      <c r="W72">
        <v>32671.7</v>
      </c>
      <c r="X72" s="1" t="s">
        <v>29</v>
      </c>
      <c r="Y72">
        <v>725</v>
      </c>
      <c r="Z72">
        <v>31946.7</v>
      </c>
      <c r="AA72" s="6"/>
      <c r="AB72" s="4" t="str">
        <v>International Package</v>
      </c>
      <c r="AC72" s="4" t="str">
        <v>High Value</v>
      </c>
      <c r="AD72" s="4" t="str">
        <v xml:space="preserve">Not Confirmed </v>
      </c>
      <c r="AE72" s="4" t="str">
        <v>Silver</v>
      </c>
      <c r="AF72" s="4" t="str">
        <v>Small Group</v>
      </c>
      <c r="AG72" s="4" t="str">
        <f>IF(AND(Travel_Tourism_Booking_100_Records[[#This Row],[Booking Status]]="Confirmed",Travel_Tourism_Booking_100_Records[[#This Row],[Travelers]]&gt;=4),"Eligible","Not")</f>
        <v>Not</v>
      </c>
      <c r="AH72" s="4" t="str">
        <f>IF(AND(Travel_Tourism_Booking_100_Records[[#This Row],[Final Amount]]&gt;=75000,Travel_Tourism_Booking_100_Records[[#This Row],[Payment Mode]]="Credit Card"),"Eligible","Not Eligible")</f>
        <v>Not Eligible</v>
      </c>
      <c r="AI72" s="4" t="str">
        <f>IF(OR(Travel_Tourism_Booking_100_Records[[#This Row],[Booking Status]]="Confirmed",Travel_Tourism_Booking_100_Records[[#This Row],[Final Amount]]&gt;=150000),"High Priority","Not")</f>
        <v>Not</v>
      </c>
      <c r="AJ72" s="4" t="str">
        <f>IF(OR(Travel_Tourism_Booking_100_Records[[#This Row],[Payment Mode]]="Credit Card",Travel_Tourism_Booking_100_Records[[#This Row],[Travelers]]&gt;6),"Repeat Customer","Not Repeat")</f>
        <v>Repeat Customer</v>
      </c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</row>
    <row r="73" spans="1:55" x14ac:dyDescent="0.35">
      <c r="A73" s="1" t="s">
        <v>207</v>
      </c>
      <c r="B73" s="1" t="s">
        <v>208</v>
      </c>
      <c r="C73" s="1" t="s">
        <v>85</v>
      </c>
      <c r="D73" s="1" t="s">
        <v>19</v>
      </c>
      <c r="E73" s="2">
        <v>46040</v>
      </c>
      <c r="F73" s="2">
        <v>46070</v>
      </c>
      <c r="G73">
        <v>1</v>
      </c>
      <c r="H73">
        <v>103952</v>
      </c>
      <c r="I73">
        <v>20820</v>
      </c>
      <c r="J73">
        <v>83132</v>
      </c>
      <c r="K73" s="1" t="s">
        <v>79</v>
      </c>
      <c r="L73" s="1" t="s">
        <v>66</v>
      </c>
      <c r="M73" s="1" t="s">
        <v>22</v>
      </c>
      <c r="N73" s="1" t="s">
        <v>62</v>
      </c>
      <c r="O73" s="1" t="s">
        <v>86</v>
      </c>
      <c r="P73" s="1" t="s">
        <v>49</v>
      </c>
      <c r="Q73" s="1" t="s">
        <v>39</v>
      </c>
      <c r="R73" s="1" t="s">
        <v>57</v>
      </c>
      <c r="S73" s="1" t="s">
        <v>50</v>
      </c>
      <c r="T73" s="1" t="s">
        <v>29</v>
      </c>
      <c r="U73">
        <v>4156.6000000000004</v>
      </c>
      <c r="V73">
        <v>2750</v>
      </c>
      <c r="W73">
        <v>90038.6</v>
      </c>
      <c r="X73" s="1" t="s">
        <v>41</v>
      </c>
      <c r="Y73">
        <v>0</v>
      </c>
      <c r="Z73">
        <v>31946.7</v>
      </c>
      <c r="AA73" s="6"/>
      <c r="AB73" s="4" t="str">
        <v>International Package</v>
      </c>
      <c r="AC73" s="4" t="str">
        <v>High Value</v>
      </c>
      <c r="AD73" s="4" t="str">
        <v xml:space="preserve">Not Confirmed </v>
      </c>
      <c r="AE73" s="4" t="str">
        <v>Gold</v>
      </c>
      <c r="AF73" s="4" t="str">
        <v>Solo</v>
      </c>
      <c r="AG73" s="4" t="str">
        <f>IF(AND(Travel_Tourism_Booking_100_Records[[#This Row],[Booking Status]]="Confirmed",Travel_Tourism_Booking_100_Records[[#This Row],[Travelers]]&gt;=4),"Eligible","Not")</f>
        <v>Not</v>
      </c>
      <c r="AH73" s="4" t="str">
        <f>IF(AND(Travel_Tourism_Booking_100_Records[[#This Row],[Final Amount]]&gt;=75000,Travel_Tourism_Booking_100_Records[[#This Row],[Payment Mode]]="Credit Card"),"Eligible","Not Eligible")</f>
        <v>Not Eligible</v>
      </c>
      <c r="AI73" s="4" t="str">
        <f>IF(OR(Travel_Tourism_Booking_100_Records[[#This Row],[Booking Status]]="Confirmed",Travel_Tourism_Booking_100_Records[[#This Row],[Final Amount]]&gt;=150000),"High Priority","Not")</f>
        <v>Not</v>
      </c>
      <c r="AJ73" s="4" t="str">
        <f>IF(OR(Travel_Tourism_Booking_100_Records[[#This Row],[Payment Mode]]="Credit Card",Travel_Tourism_Booking_100_Records[[#This Row],[Travelers]]&gt;6),"Repeat Customer","Not Repeat")</f>
        <v>Not Repeat</v>
      </c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</row>
    <row r="74" spans="1:55" x14ac:dyDescent="0.35">
      <c r="A74" s="1" t="s">
        <v>209</v>
      </c>
      <c r="B74" s="1" t="s">
        <v>210</v>
      </c>
      <c r="C74" s="1" t="s">
        <v>103</v>
      </c>
      <c r="D74" s="1" t="s">
        <v>19</v>
      </c>
      <c r="E74" s="2">
        <v>46111</v>
      </c>
      <c r="F74" s="2">
        <v>46145</v>
      </c>
      <c r="G74">
        <v>2</v>
      </c>
      <c r="H74">
        <v>94835</v>
      </c>
      <c r="I74">
        <v>124279</v>
      </c>
      <c r="J74">
        <v>-29444</v>
      </c>
      <c r="K74" s="1" t="s">
        <v>34</v>
      </c>
      <c r="L74" s="1" t="s">
        <v>82</v>
      </c>
      <c r="M74" s="1" t="s">
        <v>91</v>
      </c>
      <c r="N74" s="1" t="s">
        <v>105</v>
      </c>
      <c r="O74" s="1" t="s">
        <v>37</v>
      </c>
      <c r="P74" s="1" t="s">
        <v>75</v>
      </c>
      <c r="Q74" s="1" t="s">
        <v>26</v>
      </c>
      <c r="R74" s="1" t="s">
        <v>57</v>
      </c>
      <c r="S74" s="1" t="s">
        <v>50</v>
      </c>
      <c r="T74" s="1" t="s">
        <v>41</v>
      </c>
      <c r="U74">
        <v>-1472.2</v>
      </c>
      <c r="V74">
        <v>698</v>
      </c>
      <c r="W74">
        <v>-30218.2</v>
      </c>
      <c r="X74" s="1" t="s">
        <v>29</v>
      </c>
      <c r="Y74">
        <v>2384</v>
      </c>
      <c r="Z74">
        <v>-32602.2</v>
      </c>
      <c r="AA74" s="6"/>
      <c r="AB74" s="4" t="str">
        <v>International Package</v>
      </c>
      <c r="AC74" s="4" t="str">
        <v>Normal Booking</v>
      </c>
      <c r="AD74" s="4" t="str">
        <v xml:space="preserve">Not Confirmed </v>
      </c>
      <c r="AE74" s="4" t="str">
        <v>Silver</v>
      </c>
      <c r="AF74" s="4" t="str">
        <v>Small Group</v>
      </c>
      <c r="AG74" s="4" t="str">
        <f>IF(AND(Travel_Tourism_Booking_100_Records[[#This Row],[Booking Status]]="Confirmed",Travel_Tourism_Booking_100_Records[[#This Row],[Travelers]]&gt;=4),"Eligible","Not")</f>
        <v>Not</v>
      </c>
      <c r="AH74" s="4" t="str">
        <f>IF(AND(Travel_Tourism_Booking_100_Records[[#This Row],[Final Amount]]&gt;=75000,Travel_Tourism_Booking_100_Records[[#This Row],[Payment Mode]]="Credit Card"),"Eligible","Not Eligible")</f>
        <v>Not Eligible</v>
      </c>
      <c r="AI74" s="4" t="str">
        <f>IF(OR(Travel_Tourism_Booking_100_Records[[#This Row],[Booking Status]]="Confirmed",Travel_Tourism_Booking_100_Records[[#This Row],[Final Amount]]&gt;=150000),"High Priority","Not")</f>
        <v>Not</v>
      </c>
      <c r="AJ74" s="4" t="str">
        <f>IF(OR(Travel_Tourism_Booking_100_Records[[#This Row],[Payment Mode]]="Credit Card",Travel_Tourism_Booking_100_Records[[#This Row],[Travelers]]&gt;6),"Repeat Customer","Not Repeat")</f>
        <v>Not Repeat</v>
      </c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</row>
    <row r="75" spans="1:55" x14ac:dyDescent="0.35">
      <c r="A75" s="1" t="s">
        <v>211</v>
      </c>
      <c r="B75" s="1" t="s">
        <v>212</v>
      </c>
      <c r="C75" s="1" t="s">
        <v>85</v>
      </c>
      <c r="D75" s="1" t="s">
        <v>19</v>
      </c>
      <c r="E75" s="2">
        <v>46200</v>
      </c>
      <c r="F75" s="2">
        <v>46208</v>
      </c>
      <c r="G75">
        <v>2</v>
      </c>
      <c r="H75">
        <v>22472</v>
      </c>
      <c r="I75">
        <v>110907</v>
      </c>
      <c r="J75">
        <v>-88435</v>
      </c>
      <c r="K75" s="1" t="s">
        <v>108</v>
      </c>
      <c r="L75" s="1" t="s">
        <v>82</v>
      </c>
      <c r="M75" s="1" t="s">
        <v>22</v>
      </c>
      <c r="N75" s="1" t="s">
        <v>105</v>
      </c>
      <c r="O75" s="1" t="s">
        <v>24</v>
      </c>
      <c r="P75" s="1" t="s">
        <v>25</v>
      </c>
      <c r="Q75" s="1" t="s">
        <v>26</v>
      </c>
      <c r="R75" s="1" t="s">
        <v>27</v>
      </c>
      <c r="S75" s="1" t="s">
        <v>58</v>
      </c>
      <c r="T75" s="1" t="s">
        <v>29</v>
      </c>
      <c r="U75">
        <v>-4421.75</v>
      </c>
      <c r="V75">
        <v>1922</v>
      </c>
      <c r="W75">
        <v>-90934.75</v>
      </c>
      <c r="X75" s="1" t="s">
        <v>29</v>
      </c>
      <c r="Y75">
        <v>1802</v>
      </c>
      <c r="Z75">
        <v>-92736.75</v>
      </c>
      <c r="AA75" s="6"/>
      <c r="AB75" s="4" t="str">
        <v>International Package</v>
      </c>
      <c r="AC75" s="4" t="str">
        <v>Normal Booking</v>
      </c>
      <c r="AD75" s="4" t="str">
        <v xml:space="preserve">Not Confirmed </v>
      </c>
      <c r="AE75" s="4" t="str">
        <v>Silver</v>
      </c>
      <c r="AF75" s="4" t="str">
        <v>Small Group</v>
      </c>
      <c r="AG75" s="4" t="str">
        <f>IF(AND(Travel_Tourism_Booking_100_Records[[#This Row],[Booking Status]]="Confirmed",Travel_Tourism_Booking_100_Records[[#This Row],[Travelers]]&gt;=4),"Eligible","Not")</f>
        <v>Not</v>
      </c>
      <c r="AH75" s="4" t="str">
        <f>IF(AND(Travel_Tourism_Booking_100_Records[[#This Row],[Final Amount]]&gt;=75000,Travel_Tourism_Booking_100_Records[[#This Row],[Payment Mode]]="Credit Card"),"Eligible","Not Eligible")</f>
        <v>Not Eligible</v>
      </c>
      <c r="AI75" s="4" t="str">
        <f>IF(OR(Travel_Tourism_Booking_100_Records[[#This Row],[Booking Status]]="Confirmed",Travel_Tourism_Booking_100_Records[[#This Row],[Final Amount]]&gt;=150000),"High Priority","Not")</f>
        <v>Not</v>
      </c>
      <c r="AJ75" s="4" t="str">
        <f>IF(OR(Travel_Tourism_Booking_100_Records[[#This Row],[Payment Mode]]="Credit Card",Travel_Tourism_Booking_100_Records[[#This Row],[Travelers]]&gt;6),"Repeat Customer","Not Repeat")</f>
        <v>Repeat Customer</v>
      </c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</row>
    <row r="76" spans="1:55" x14ac:dyDescent="0.35">
      <c r="A76" s="1" t="s">
        <v>213</v>
      </c>
      <c r="B76" s="1" t="s">
        <v>214</v>
      </c>
      <c r="C76" s="1" t="s">
        <v>44</v>
      </c>
      <c r="D76" s="1" t="s">
        <v>45</v>
      </c>
      <c r="E76" s="2">
        <v>46179</v>
      </c>
      <c r="F76" s="2">
        <v>46196</v>
      </c>
      <c r="G76">
        <v>5</v>
      </c>
      <c r="H76">
        <v>60415</v>
      </c>
      <c r="I76">
        <v>126446</v>
      </c>
      <c r="J76">
        <v>-66031</v>
      </c>
      <c r="K76" s="1" t="s">
        <v>34</v>
      </c>
      <c r="L76" s="1" t="s">
        <v>66</v>
      </c>
      <c r="M76" s="1" t="s">
        <v>72</v>
      </c>
      <c r="N76" s="1" t="s">
        <v>67</v>
      </c>
      <c r="O76" s="1" t="s">
        <v>55</v>
      </c>
      <c r="P76" s="1" t="s">
        <v>49</v>
      </c>
      <c r="Q76" s="1" t="s">
        <v>26</v>
      </c>
      <c r="R76" s="1" t="s">
        <v>27</v>
      </c>
      <c r="S76" s="1" t="s">
        <v>76</v>
      </c>
      <c r="T76" s="1" t="s">
        <v>41</v>
      </c>
      <c r="U76">
        <v>-3301.55</v>
      </c>
      <c r="V76">
        <v>1894</v>
      </c>
      <c r="W76">
        <v>-67438.55</v>
      </c>
      <c r="X76" s="1" t="s">
        <v>29</v>
      </c>
      <c r="Y76">
        <v>1433</v>
      </c>
      <c r="Z76">
        <v>-68871.55</v>
      </c>
      <c r="AA76" s="6"/>
      <c r="AB76" s="4" t="str">
        <v>International Package</v>
      </c>
      <c r="AC76" s="4" t="str">
        <v>Normal Booking</v>
      </c>
      <c r="AD76" s="4" t="str">
        <v xml:space="preserve">Not Confirmed </v>
      </c>
      <c r="AE76" s="4" t="str">
        <v>Silver</v>
      </c>
      <c r="AF76" s="4" t="str">
        <v>Family</v>
      </c>
      <c r="AG76" s="4" t="str">
        <f>IF(AND(Travel_Tourism_Booking_100_Records[[#This Row],[Booking Status]]="Confirmed",Travel_Tourism_Booking_100_Records[[#This Row],[Travelers]]&gt;=4),"Eligible","Not")</f>
        <v>Not</v>
      </c>
      <c r="AH76" s="4" t="str">
        <f>IF(AND(Travel_Tourism_Booking_100_Records[[#This Row],[Final Amount]]&gt;=75000,Travel_Tourism_Booking_100_Records[[#This Row],[Payment Mode]]="Credit Card"),"Eligible","Not Eligible")</f>
        <v>Not Eligible</v>
      </c>
      <c r="AI76" s="4" t="str">
        <f>IF(OR(Travel_Tourism_Booking_100_Records[[#This Row],[Booking Status]]="Confirmed",Travel_Tourism_Booking_100_Records[[#This Row],[Final Amount]]&gt;=150000),"High Priority","Not")</f>
        <v>Not</v>
      </c>
      <c r="AJ76" s="4" t="str">
        <f>IF(OR(Travel_Tourism_Booking_100_Records[[#This Row],[Payment Mode]]="Credit Card",Travel_Tourism_Booking_100_Records[[#This Row],[Travelers]]&gt;6),"Repeat Customer","Not Repeat")</f>
        <v>Not Repeat</v>
      </c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</row>
    <row r="77" spans="1:55" x14ac:dyDescent="0.35">
      <c r="A77" s="1" t="s">
        <v>215</v>
      </c>
      <c r="B77" s="1" t="s">
        <v>216</v>
      </c>
      <c r="C77" s="1" t="s">
        <v>44</v>
      </c>
      <c r="D77" s="1" t="s">
        <v>19</v>
      </c>
      <c r="E77" s="2">
        <v>46066</v>
      </c>
      <c r="F77" s="2">
        <v>46126</v>
      </c>
      <c r="G77">
        <v>5</v>
      </c>
      <c r="H77">
        <v>78121</v>
      </c>
      <c r="I77">
        <v>148662</v>
      </c>
      <c r="J77">
        <v>-70541</v>
      </c>
      <c r="K77" s="1" t="s">
        <v>108</v>
      </c>
      <c r="L77" s="1" t="s">
        <v>66</v>
      </c>
      <c r="M77" s="1" t="s">
        <v>35</v>
      </c>
      <c r="N77" s="1" t="s">
        <v>73</v>
      </c>
      <c r="O77" s="1" t="s">
        <v>92</v>
      </c>
      <c r="P77" s="1" t="s">
        <v>25</v>
      </c>
      <c r="Q77" s="1" t="s">
        <v>26</v>
      </c>
      <c r="R77" s="1" t="s">
        <v>27</v>
      </c>
      <c r="S77" s="1" t="s">
        <v>76</v>
      </c>
      <c r="T77" s="1" t="s">
        <v>29</v>
      </c>
      <c r="U77">
        <v>-3527.05</v>
      </c>
      <c r="V77">
        <v>2602</v>
      </c>
      <c r="W77">
        <v>-71466.05</v>
      </c>
      <c r="X77" s="1" t="s">
        <v>29</v>
      </c>
      <c r="Y77">
        <v>1952</v>
      </c>
      <c r="Z77">
        <v>-73418.05</v>
      </c>
      <c r="AA77" s="6"/>
      <c r="AB77" s="4" t="str">
        <v>International Package</v>
      </c>
      <c r="AC77" s="4" t="str">
        <v>Normal Booking</v>
      </c>
      <c r="AD77" s="4" t="str">
        <v xml:space="preserve">Not Confirmed </v>
      </c>
      <c r="AE77" s="4" t="str">
        <v>Silver</v>
      </c>
      <c r="AF77" s="4" t="str">
        <v>Family</v>
      </c>
      <c r="AG77" s="4" t="str">
        <f>IF(AND(Travel_Tourism_Booking_100_Records[[#This Row],[Booking Status]]="Confirmed",Travel_Tourism_Booking_100_Records[[#This Row],[Travelers]]&gt;=4),"Eligible","Not")</f>
        <v>Not</v>
      </c>
      <c r="AH77" s="4" t="str">
        <f>IF(AND(Travel_Tourism_Booking_100_Records[[#This Row],[Final Amount]]&gt;=75000,Travel_Tourism_Booking_100_Records[[#This Row],[Payment Mode]]="Credit Card"),"Eligible","Not Eligible")</f>
        <v>Not Eligible</v>
      </c>
      <c r="AI77" s="4" t="str">
        <f>IF(OR(Travel_Tourism_Booking_100_Records[[#This Row],[Booking Status]]="Confirmed",Travel_Tourism_Booking_100_Records[[#This Row],[Final Amount]]&gt;=150000),"High Priority","Not")</f>
        <v>Not</v>
      </c>
      <c r="AJ77" s="4" t="str">
        <f>IF(OR(Travel_Tourism_Booking_100_Records[[#This Row],[Payment Mode]]="Credit Card",Travel_Tourism_Booking_100_Records[[#This Row],[Travelers]]&gt;6),"Repeat Customer","Not Repeat")</f>
        <v>Repeat Customer</v>
      </c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</row>
    <row r="78" spans="1:55" x14ac:dyDescent="0.35">
      <c r="A78" s="1" t="s">
        <v>217</v>
      </c>
      <c r="B78" s="1" t="s">
        <v>214</v>
      </c>
      <c r="C78" s="1" t="s">
        <v>85</v>
      </c>
      <c r="D78" s="1" t="s">
        <v>71</v>
      </c>
      <c r="E78" s="2">
        <v>46028</v>
      </c>
      <c r="F78" s="2">
        <v>46049</v>
      </c>
      <c r="G78">
        <v>5</v>
      </c>
      <c r="H78">
        <v>109413</v>
      </c>
      <c r="I78">
        <v>117567</v>
      </c>
      <c r="J78">
        <v>-8154</v>
      </c>
      <c r="K78" s="1" t="s">
        <v>79</v>
      </c>
      <c r="L78" s="1" t="s">
        <v>82</v>
      </c>
      <c r="M78" s="1" t="s">
        <v>35</v>
      </c>
      <c r="N78" s="1" t="s">
        <v>105</v>
      </c>
      <c r="O78" s="1" t="s">
        <v>86</v>
      </c>
      <c r="P78" s="1" t="s">
        <v>25</v>
      </c>
      <c r="Q78" s="1" t="s">
        <v>39</v>
      </c>
      <c r="R78" s="1" t="s">
        <v>57</v>
      </c>
      <c r="S78" s="1" t="s">
        <v>28</v>
      </c>
      <c r="T78" s="1" t="s">
        <v>41</v>
      </c>
      <c r="U78">
        <v>-407.7</v>
      </c>
      <c r="V78">
        <v>2643</v>
      </c>
      <c r="W78">
        <v>-5918.7000000000007</v>
      </c>
      <c r="X78" s="1" t="s">
        <v>29</v>
      </c>
      <c r="Y78">
        <v>928</v>
      </c>
      <c r="Z78">
        <v>-6846.7000000000007</v>
      </c>
      <c r="AA78" s="6"/>
      <c r="AB78" s="4" t="str">
        <v>International Package</v>
      </c>
      <c r="AC78" s="4" t="str">
        <v>High Value</v>
      </c>
      <c r="AD78" s="4" t="str">
        <v xml:space="preserve">Not Confirmed </v>
      </c>
      <c r="AE78" s="4" t="str">
        <v>Silver</v>
      </c>
      <c r="AF78" s="4" t="str">
        <v>Family</v>
      </c>
      <c r="AG78" s="4" t="str">
        <f>IF(AND(Travel_Tourism_Booking_100_Records[[#This Row],[Booking Status]]="Confirmed",Travel_Tourism_Booking_100_Records[[#This Row],[Travelers]]&gt;=4),"Eligible","Not")</f>
        <v>Not</v>
      </c>
      <c r="AH78" s="4" t="str">
        <f>IF(AND(Travel_Tourism_Booking_100_Records[[#This Row],[Final Amount]]&gt;=75000,Travel_Tourism_Booking_100_Records[[#This Row],[Payment Mode]]="Credit Card"),"Eligible","Not Eligible")</f>
        <v>Not Eligible</v>
      </c>
      <c r="AI78" s="4" t="str">
        <f>IF(OR(Travel_Tourism_Booking_100_Records[[#This Row],[Booking Status]]="Confirmed",Travel_Tourism_Booking_100_Records[[#This Row],[Final Amount]]&gt;=150000),"High Priority","Not")</f>
        <v>Not</v>
      </c>
      <c r="AJ78" s="4" t="str">
        <f>IF(OR(Travel_Tourism_Booking_100_Records[[#This Row],[Payment Mode]]="Credit Card",Travel_Tourism_Booking_100_Records[[#This Row],[Travelers]]&gt;6),"Repeat Customer","Not Repeat")</f>
        <v>Not Repeat</v>
      </c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</row>
    <row r="79" spans="1:55" x14ac:dyDescent="0.35">
      <c r="A79" s="1" t="s">
        <v>218</v>
      </c>
      <c r="B79" s="1" t="s">
        <v>219</v>
      </c>
      <c r="C79" s="1" t="s">
        <v>61</v>
      </c>
      <c r="D79" s="1" t="s">
        <v>45</v>
      </c>
      <c r="E79" s="2">
        <v>46106</v>
      </c>
      <c r="F79" s="2">
        <v>46141</v>
      </c>
      <c r="G79">
        <v>6</v>
      </c>
      <c r="H79">
        <v>34768</v>
      </c>
      <c r="I79">
        <v>85994</v>
      </c>
      <c r="J79">
        <v>-51226</v>
      </c>
      <c r="K79" s="1" t="s">
        <v>79</v>
      </c>
      <c r="L79" s="1" t="s">
        <v>82</v>
      </c>
      <c r="M79" s="1" t="s">
        <v>35</v>
      </c>
      <c r="N79" s="1" t="s">
        <v>23</v>
      </c>
      <c r="O79" s="1" t="s">
        <v>48</v>
      </c>
      <c r="P79" s="1" t="s">
        <v>25</v>
      </c>
      <c r="Q79" s="1" t="s">
        <v>26</v>
      </c>
      <c r="R79" s="1" t="s">
        <v>57</v>
      </c>
      <c r="S79" s="1" t="s">
        <v>28</v>
      </c>
      <c r="T79" s="1" t="s">
        <v>41</v>
      </c>
      <c r="U79">
        <v>-2561.3000000000002</v>
      </c>
      <c r="V79">
        <v>1311</v>
      </c>
      <c r="W79">
        <v>-52476.3</v>
      </c>
      <c r="X79" s="1" t="s">
        <v>41</v>
      </c>
      <c r="Y79">
        <v>0</v>
      </c>
      <c r="Z79">
        <v>-6846.7000000000007</v>
      </c>
      <c r="AA79" s="6"/>
      <c r="AB79" s="4" t="str">
        <v>International Package</v>
      </c>
      <c r="AC79" s="4" t="str">
        <v>Normal Booking</v>
      </c>
      <c r="AD79" s="4" t="str">
        <v xml:space="preserve">Not Confirmed </v>
      </c>
      <c r="AE79" s="4" t="str">
        <v>Silver</v>
      </c>
      <c r="AF79" s="4" t="str">
        <v>Family</v>
      </c>
      <c r="AG79" s="4" t="str">
        <f>IF(AND(Travel_Tourism_Booking_100_Records[[#This Row],[Booking Status]]="Confirmed",Travel_Tourism_Booking_100_Records[[#This Row],[Travelers]]&gt;=4),"Eligible","Not")</f>
        <v>Not</v>
      </c>
      <c r="AH79" s="4" t="str">
        <f>IF(AND(Travel_Tourism_Booking_100_Records[[#This Row],[Final Amount]]&gt;=75000,Travel_Tourism_Booking_100_Records[[#This Row],[Payment Mode]]="Credit Card"),"Eligible","Not Eligible")</f>
        <v>Not Eligible</v>
      </c>
      <c r="AI79" s="4" t="str">
        <f>IF(OR(Travel_Tourism_Booking_100_Records[[#This Row],[Booking Status]]="Confirmed",Travel_Tourism_Booking_100_Records[[#This Row],[Final Amount]]&gt;=150000),"High Priority","Not")</f>
        <v>Not</v>
      </c>
      <c r="AJ79" s="4" t="str">
        <f>IF(OR(Travel_Tourism_Booking_100_Records[[#This Row],[Payment Mode]]="Credit Card",Travel_Tourism_Booking_100_Records[[#This Row],[Travelers]]&gt;6),"Repeat Customer","Not Repeat")</f>
        <v>Not Repeat</v>
      </c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</row>
    <row r="80" spans="1:55" x14ac:dyDescent="0.35">
      <c r="A80" s="1" t="s">
        <v>220</v>
      </c>
      <c r="B80" s="1" t="s">
        <v>221</v>
      </c>
      <c r="C80" s="1" t="s">
        <v>111</v>
      </c>
      <c r="D80" s="1" t="s">
        <v>45</v>
      </c>
      <c r="E80" s="2">
        <v>46175</v>
      </c>
      <c r="F80" s="2">
        <v>46202</v>
      </c>
      <c r="G80">
        <v>6</v>
      </c>
      <c r="H80">
        <v>120306</v>
      </c>
      <c r="I80">
        <v>85228</v>
      </c>
      <c r="J80">
        <v>35078</v>
      </c>
      <c r="K80" s="1" t="s">
        <v>20</v>
      </c>
      <c r="L80" s="1" t="s">
        <v>82</v>
      </c>
      <c r="M80" s="1" t="s">
        <v>22</v>
      </c>
      <c r="N80" s="1" t="s">
        <v>47</v>
      </c>
      <c r="O80" s="1" t="s">
        <v>86</v>
      </c>
      <c r="P80" s="1" t="s">
        <v>75</v>
      </c>
      <c r="Q80" s="1" t="s">
        <v>56</v>
      </c>
      <c r="R80" s="1" t="s">
        <v>57</v>
      </c>
      <c r="S80" s="1" t="s">
        <v>76</v>
      </c>
      <c r="T80" s="1" t="s">
        <v>29</v>
      </c>
      <c r="U80">
        <v>1753.9</v>
      </c>
      <c r="V80">
        <v>1962</v>
      </c>
      <c r="W80">
        <v>38793.9</v>
      </c>
      <c r="X80" s="1" t="s">
        <v>41</v>
      </c>
      <c r="Y80">
        <v>0</v>
      </c>
      <c r="Z80">
        <v>-6846.7000000000007</v>
      </c>
      <c r="AA80" s="6"/>
      <c r="AB80" s="4" t="str">
        <v>International Package</v>
      </c>
      <c r="AC80" s="4" t="str">
        <v>High Value</v>
      </c>
      <c r="AD80" s="4" t="str">
        <v xml:space="preserve">Not Confirmed </v>
      </c>
      <c r="AE80" s="4" t="str">
        <v>Silver</v>
      </c>
      <c r="AF80" s="4" t="str">
        <v>Family</v>
      </c>
      <c r="AG80" s="4" t="str">
        <f>IF(AND(Travel_Tourism_Booking_100_Records[[#This Row],[Booking Status]]="Confirmed",Travel_Tourism_Booking_100_Records[[#This Row],[Travelers]]&gt;=4),"Eligible","Not")</f>
        <v>Not</v>
      </c>
      <c r="AH80" s="4" t="str">
        <f>IF(AND(Travel_Tourism_Booking_100_Records[[#This Row],[Final Amount]]&gt;=75000,Travel_Tourism_Booking_100_Records[[#This Row],[Payment Mode]]="Credit Card"),"Eligible","Not Eligible")</f>
        <v>Not Eligible</v>
      </c>
      <c r="AI80" s="4" t="str">
        <f>IF(OR(Travel_Tourism_Booking_100_Records[[#This Row],[Booking Status]]="Confirmed",Travel_Tourism_Booking_100_Records[[#This Row],[Final Amount]]&gt;=150000),"High Priority","Not")</f>
        <v>Not</v>
      </c>
      <c r="AJ80" s="4" t="str">
        <f>IF(OR(Travel_Tourism_Booking_100_Records[[#This Row],[Payment Mode]]="Credit Card",Travel_Tourism_Booking_100_Records[[#This Row],[Travelers]]&gt;6),"Repeat Customer","Not Repeat")</f>
        <v>Not Repeat</v>
      </c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</row>
    <row r="81" spans="1:55" x14ac:dyDescent="0.35">
      <c r="A81" s="1" t="s">
        <v>222</v>
      </c>
      <c r="B81" s="1" t="s">
        <v>223</v>
      </c>
      <c r="C81" s="1" t="s">
        <v>61</v>
      </c>
      <c r="D81" s="1" t="s">
        <v>19</v>
      </c>
      <c r="E81" s="2">
        <v>46161</v>
      </c>
      <c r="F81" s="2">
        <v>46184</v>
      </c>
      <c r="G81">
        <v>2</v>
      </c>
      <c r="H81">
        <v>49184</v>
      </c>
      <c r="I81">
        <v>76523</v>
      </c>
      <c r="J81">
        <v>-27339</v>
      </c>
      <c r="K81" s="1" t="s">
        <v>20</v>
      </c>
      <c r="L81" s="1" t="s">
        <v>66</v>
      </c>
      <c r="M81" s="1" t="s">
        <v>35</v>
      </c>
      <c r="N81" s="1" t="s">
        <v>67</v>
      </c>
      <c r="O81" s="1" t="s">
        <v>74</v>
      </c>
      <c r="P81" s="1" t="s">
        <v>49</v>
      </c>
      <c r="Q81" s="1" t="s">
        <v>39</v>
      </c>
      <c r="R81" s="1" t="s">
        <v>40</v>
      </c>
      <c r="S81" s="1" t="s">
        <v>28</v>
      </c>
      <c r="T81" s="1" t="s">
        <v>29</v>
      </c>
      <c r="U81">
        <v>-1366.95</v>
      </c>
      <c r="V81">
        <v>2872</v>
      </c>
      <c r="W81">
        <v>-25833.95</v>
      </c>
      <c r="X81" s="1" t="s">
        <v>41</v>
      </c>
      <c r="Y81">
        <v>0</v>
      </c>
      <c r="Z81">
        <v>-6846.7000000000007</v>
      </c>
      <c r="AA81" s="6"/>
      <c r="AB81" s="4" t="str">
        <v>International Package</v>
      </c>
      <c r="AC81" s="4" t="str">
        <v>Normal Booking</v>
      </c>
      <c r="AD81" s="4" t="str">
        <v xml:space="preserve">Not Confirmed </v>
      </c>
      <c r="AE81" s="4" t="str">
        <v>Silver</v>
      </c>
      <c r="AF81" s="4" t="str">
        <v>Small Group</v>
      </c>
      <c r="AG81" s="4" t="str">
        <f>IF(AND(Travel_Tourism_Booking_100_Records[[#This Row],[Booking Status]]="Confirmed",Travel_Tourism_Booking_100_Records[[#This Row],[Travelers]]&gt;=4),"Eligible","Not")</f>
        <v>Not</v>
      </c>
      <c r="AH81" s="4" t="str">
        <f>IF(AND(Travel_Tourism_Booking_100_Records[[#This Row],[Final Amount]]&gt;=75000,Travel_Tourism_Booking_100_Records[[#This Row],[Payment Mode]]="Credit Card"),"Eligible","Not Eligible")</f>
        <v>Not Eligible</v>
      </c>
      <c r="AI81" s="4" t="str">
        <f>IF(OR(Travel_Tourism_Booking_100_Records[[#This Row],[Booking Status]]="Confirmed",Travel_Tourism_Booking_100_Records[[#This Row],[Final Amount]]&gt;=150000),"High Priority","Not")</f>
        <v>Not</v>
      </c>
      <c r="AJ81" s="4" t="str">
        <f>IF(OR(Travel_Tourism_Booking_100_Records[[#This Row],[Payment Mode]]="Credit Card",Travel_Tourism_Booking_100_Records[[#This Row],[Travelers]]&gt;6),"Repeat Customer","Not Repeat")</f>
        <v>Not Repeat</v>
      </c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</row>
    <row r="82" spans="1:55" x14ac:dyDescent="0.35">
      <c r="A82" s="1" t="s">
        <v>224</v>
      </c>
      <c r="B82" s="1" t="s">
        <v>225</v>
      </c>
      <c r="C82" s="1" t="s">
        <v>70</v>
      </c>
      <c r="D82" s="1" t="s">
        <v>19</v>
      </c>
      <c r="E82" s="2">
        <v>46148</v>
      </c>
      <c r="F82" s="2">
        <v>46178</v>
      </c>
      <c r="G82">
        <v>2</v>
      </c>
      <c r="H82">
        <v>40833</v>
      </c>
      <c r="I82">
        <v>10827</v>
      </c>
      <c r="J82">
        <v>30006</v>
      </c>
      <c r="K82" s="1" t="s">
        <v>108</v>
      </c>
      <c r="L82" s="1" t="s">
        <v>21</v>
      </c>
      <c r="M82" s="1" t="s">
        <v>35</v>
      </c>
      <c r="N82" s="1" t="s">
        <v>140</v>
      </c>
      <c r="O82" s="1" t="s">
        <v>92</v>
      </c>
      <c r="P82" s="1" t="s">
        <v>25</v>
      </c>
      <c r="Q82" s="1" t="s">
        <v>26</v>
      </c>
      <c r="R82" s="1" t="s">
        <v>27</v>
      </c>
      <c r="S82" s="1" t="s">
        <v>58</v>
      </c>
      <c r="T82" s="1" t="s">
        <v>29</v>
      </c>
      <c r="U82">
        <v>1500.3</v>
      </c>
      <c r="V82">
        <v>2784</v>
      </c>
      <c r="W82">
        <v>34290.300000000003</v>
      </c>
      <c r="X82" s="1" t="s">
        <v>29</v>
      </c>
      <c r="Y82">
        <v>2976</v>
      </c>
      <c r="Z82">
        <v>31314.300000000003</v>
      </c>
      <c r="AA82" s="6"/>
      <c r="AB82" s="4" t="str">
        <v>International Package</v>
      </c>
      <c r="AC82" s="4" t="str">
        <v>Normal Booking</v>
      </c>
      <c r="AD82" s="4" t="str">
        <v>Confirmed</v>
      </c>
      <c r="AE82" s="4" t="str">
        <v>Silver</v>
      </c>
      <c r="AF82" s="4" t="str">
        <v>Small Group</v>
      </c>
      <c r="AG82" s="4" t="str">
        <f>IF(AND(Travel_Tourism_Booking_100_Records[[#This Row],[Booking Status]]="Confirmed",Travel_Tourism_Booking_100_Records[[#This Row],[Travelers]]&gt;=4),"Eligible","Not")</f>
        <v>Not</v>
      </c>
      <c r="AH82" s="4" t="str">
        <f>IF(AND(Travel_Tourism_Booking_100_Records[[#This Row],[Final Amount]]&gt;=75000,Travel_Tourism_Booking_100_Records[[#This Row],[Payment Mode]]="Credit Card"),"Eligible","Not Eligible")</f>
        <v>Not Eligible</v>
      </c>
      <c r="AI82" s="4" t="str">
        <f>IF(OR(Travel_Tourism_Booking_100_Records[[#This Row],[Booking Status]]="Confirmed",Travel_Tourism_Booking_100_Records[[#This Row],[Final Amount]]&gt;=150000),"High Priority","Not")</f>
        <v>High Priority</v>
      </c>
      <c r="AJ82" s="4" t="str">
        <f>IF(OR(Travel_Tourism_Booking_100_Records[[#This Row],[Payment Mode]]="Credit Card",Travel_Tourism_Booking_100_Records[[#This Row],[Travelers]]&gt;6),"Repeat Customer","Not Repeat")</f>
        <v>Repeat Customer</v>
      </c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</row>
    <row r="83" spans="1:55" x14ac:dyDescent="0.35">
      <c r="A83" s="1" t="s">
        <v>226</v>
      </c>
      <c r="B83" s="1" t="s">
        <v>227</v>
      </c>
      <c r="C83" s="1" t="s">
        <v>85</v>
      </c>
      <c r="D83" s="1" t="s">
        <v>71</v>
      </c>
      <c r="E83" s="2">
        <v>46135</v>
      </c>
      <c r="F83" s="2">
        <v>46188</v>
      </c>
      <c r="G83">
        <v>1</v>
      </c>
      <c r="H83">
        <v>70116</v>
      </c>
      <c r="I83">
        <v>70526</v>
      </c>
      <c r="J83">
        <v>-410</v>
      </c>
      <c r="K83" s="1" t="s">
        <v>34</v>
      </c>
      <c r="L83" s="1" t="s">
        <v>21</v>
      </c>
      <c r="M83" s="1" t="s">
        <v>35</v>
      </c>
      <c r="N83" s="1" t="s">
        <v>73</v>
      </c>
      <c r="O83" s="1" t="s">
        <v>74</v>
      </c>
      <c r="P83" s="1" t="s">
        <v>49</v>
      </c>
      <c r="Q83" s="1" t="s">
        <v>56</v>
      </c>
      <c r="R83" s="1" t="s">
        <v>40</v>
      </c>
      <c r="S83" s="1" t="s">
        <v>76</v>
      </c>
      <c r="T83" s="1" t="s">
        <v>41</v>
      </c>
      <c r="U83">
        <v>-20.5</v>
      </c>
      <c r="V83">
        <v>2703</v>
      </c>
      <c r="W83">
        <v>2272.5</v>
      </c>
      <c r="X83" s="1" t="s">
        <v>29</v>
      </c>
      <c r="Y83">
        <v>2414</v>
      </c>
      <c r="Z83">
        <v>-141.5</v>
      </c>
      <c r="AA83" s="6"/>
      <c r="AB83" s="4" t="str">
        <v>International Package</v>
      </c>
      <c r="AC83" s="4" t="str">
        <v>Normal Booking</v>
      </c>
      <c r="AD83" s="4" t="str">
        <v>Confirmed</v>
      </c>
      <c r="AE83" s="4" t="str">
        <v>Silver</v>
      </c>
      <c r="AF83" s="4" t="str">
        <v>Solo</v>
      </c>
      <c r="AG83" s="4" t="str">
        <f>IF(AND(Travel_Tourism_Booking_100_Records[[#This Row],[Booking Status]]="Confirmed",Travel_Tourism_Booking_100_Records[[#This Row],[Travelers]]&gt;=4),"Eligible","Not")</f>
        <v>Not</v>
      </c>
      <c r="AH83" s="4" t="str">
        <f>IF(AND(Travel_Tourism_Booking_100_Records[[#This Row],[Final Amount]]&gt;=75000,Travel_Tourism_Booking_100_Records[[#This Row],[Payment Mode]]="Credit Card"),"Eligible","Not Eligible")</f>
        <v>Not Eligible</v>
      </c>
      <c r="AI83" s="4" t="str">
        <f>IF(OR(Travel_Tourism_Booking_100_Records[[#This Row],[Booking Status]]="Confirmed",Travel_Tourism_Booking_100_Records[[#This Row],[Final Amount]]&gt;=150000),"High Priority","Not")</f>
        <v>High Priority</v>
      </c>
      <c r="AJ83" s="4" t="str">
        <f>IF(OR(Travel_Tourism_Booking_100_Records[[#This Row],[Payment Mode]]="Credit Card",Travel_Tourism_Booking_100_Records[[#This Row],[Travelers]]&gt;6),"Repeat Customer","Not Repeat")</f>
        <v>Not Repeat</v>
      </c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</row>
    <row r="84" spans="1:55" x14ac:dyDescent="0.35">
      <c r="A84" s="1" t="s">
        <v>228</v>
      </c>
      <c r="B84" s="1" t="s">
        <v>182</v>
      </c>
      <c r="C84" s="1" t="s">
        <v>95</v>
      </c>
      <c r="D84" s="1" t="s">
        <v>19</v>
      </c>
      <c r="E84" s="2">
        <v>46169</v>
      </c>
      <c r="F84" s="2">
        <v>46204</v>
      </c>
      <c r="G84">
        <v>1</v>
      </c>
      <c r="H84">
        <v>96672</v>
      </c>
      <c r="I84">
        <v>64198</v>
      </c>
      <c r="J84">
        <v>32474</v>
      </c>
      <c r="K84" s="1" t="s">
        <v>34</v>
      </c>
      <c r="L84" s="1" t="s">
        <v>66</v>
      </c>
      <c r="M84" s="1" t="s">
        <v>91</v>
      </c>
      <c r="N84" s="1" t="s">
        <v>140</v>
      </c>
      <c r="O84" s="1" t="s">
        <v>37</v>
      </c>
      <c r="P84" s="1" t="s">
        <v>49</v>
      </c>
      <c r="Q84" s="1" t="s">
        <v>56</v>
      </c>
      <c r="R84" s="1" t="s">
        <v>57</v>
      </c>
      <c r="S84" s="1" t="s">
        <v>50</v>
      </c>
      <c r="T84" s="1" t="s">
        <v>41</v>
      </c>
      <c r="U84">
        <v>1623.7</v>
      </c>
      <c r="V84">
        <v>552</v>
      </c>
      <c r="W84">
        <v>34649.699999999997</v>
      </c>
      <c r="X84" s="1" t="s">
        <v>41</v>
      </c>
      <c r="Y84">
        <v>0</v>
      </c>
      <c r="Z84">
        <v>-141.5</v>
      </c>
      <c r="AA84" s="6"/>
      <c r="AB84" s="4" t="str">
        <v>Domestic Package</v>
      </c>
      <c r="AC84" s="4" t="str">
        <v>Normal Booking</v>
      </c>
      <c r="AD84" s="4" t="str">
        <v xml:space="preserve">Not Confirmed </v>
      </c>
      <c r="AE84" s="4" t="str">
        <v>Silver</v>
      </c>
      <c r="AF84" s="4" t="str">
        <v>Solo</v>
      </c>
      <c r="AG84" s="4" t="str">
        <f>IF(AND(Travel_Tourism_Booking_100_Records[[#This Row],[Booking Status]]="Confirmed",Travel_Tourism_Booking_100_Records[[#This Row],[Travelers]]&gt;=4),"Eligible","Not")</f>
        <v>Not</v>
      </c>
      <c r="AH84" s="4" t="str">
        <f>IF(AND(Travel_Tourism_Booking_100_Records[[#This Row],[Final Amount]]&gt;=75000,Travel_Tourism_Booking_100_Records[[#This Row],[Payment Mode]]="Credit Card"),"Eligible","Not Eligible")</f>
        <v>Not Eligible</v>
      </c>
      <c r="AI84" s="4" t="str">
        <f>IF(OR(Travel_Tourism_Booking_100_Records[[#This Row],[Booking Status]]="Confirmed",Travel_Tourism_Booking_100_Records[[#This Row],[Final Amount]]&gt;=150000),"High Priority","Not")</f>
        <v>Not</v>
      </c>
      <c r="AJ84" s="4" t="str">
        <f>IF(OR(Travel_Tourism_Booking_100_Records[[#This Row],[Payment Mode]]="Credit Card",Travel_Tourism_Booking_100_Records[[#This Row],[Travelers]]&gt;6),"Repeat Customer","Not Repeat")</f>
        <v>Not Repeat</v>
      </c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</row>
    <row r="85" spans="1:55" x14ac:dyDescent="0.35">
      <c r="A85" s="1" t="s">
        <v>229</v>
      </c>
      <c r="B85" s="1" t="s">
        <v>230</v>
      </c>
      <c r="C85" s="1" t="s">
        <v>44</v>
      </c>
      <c r="D85" s="1" t="s">
        <v>96</v>
      </c>
      <c r="E85" s="2">
        <v>46114</v>
      </c>
      <c r="F85" s="2">
        <v>46159</v>
      </c>
      <c r="G85">
        <v>4</v>
      </c>
      <c r="H85">
        <v>72013</v>
      </c>
      <c r="I85">
        <v>118531</v>
      </c>
      <c r="J85">
        <v>-46518</v>
      </c>
      <c r="K85" s="1" t="s">
        <v>34</v>
      </c>
      <c r="L85" s="1" t="s">
        <v>21</v>
      </c>
      <c r="M85" s="1" t="s">
        <v>72</v>
      </c>
      <c r="N85" s="1" t="s">
        <v>67</v>
      </c>
      <c r="O85" s="1" t="s">
        <v>55</v>
      </c>
      <c r="P85" s="1" t="s">
        <v>49</v>
      </c>
      <c r="Q85" s="1" t="s">
        <v>39</v>
      </c>
      <c r="R85" s="1" t="s">
        <v>57</v>
      </c>
      <c r="S85" s="1" t="s">
        <v>28</v>
      </c>
      <c r="T85" s="1" t="s">
        <v>41</v>
      </c>
      <c r="U85">
        <v>-2325.9</v>
      </c>
      <c r="V85">
        <v>1701</v>
      </c>
      <c r="W85">
        <v>-47142.9</v>
      </c>
      <c r="X85" s="1" t="s">
        <v>41</v>
      </c>
      <c r="Y85">
        <v>0</v>
      </c>
      <c r="Z85">
        <v>-141.5</v>
      </c>
      <c r="AA85" s="6"/>
      <c r="AB85" s="4" t="str">
        <v>International Package</v>
      </c>
      <c r="AC85" s="4" t="str">
        <v>Normal Booking</v>
      </c>
      <c r="AD85" s="4" t="str">
        <v>Confirmed</v>
      </c>
      <c r="AE85" s="4" t="str">
        <v>Silver</v>
      </c>
      <c r="AF85" s="4" t="str">
        <v>Small Group</v>
      </c>
      <c r="AG85" s="4" t="str">
        <f>IF(AND(Travel_Tourism_Booking_100_Records[[#This Row],[Booking Status]]="Confirmed",Travel_Tourism_Booking_100_Records[[#This Row],[Travelers]]&gt;=4),"Eligible","Not")</f>
        <v>Eligible</v>
      </c>
      <c r="AH85" s="4" t="str">
        <f>IF(AND(Travel_Tourism_Booking_100_Records[[#This Row],[Final Amount]]&gt;=75000,Travel_Tourism_Booking_100_Records[[#This Row],[Payment Mode]]="Credit Card"),"Eligible","Not Eligible")</f>
        <v>Not Eligible</v>
      </c>
      <c r="AI85" s="4" t="str">
        <f>IF(OR(Travel_Tourism_Booking_100_Records[[#This Row],[Booking Status]]="Confirmed",Travel_Tourism_Booking_100_Records[[#This Row],[Final Amount]]&gt;=150000),"High Priority","Not")</f>
        <v>High Priority</v>
      </c>
      <c r="AJ85" s="4" t="str">
        <f>IF(OR(Travel_Tourism_Booking_100_Records[[#This Row],[Payment Mode]]="Credit Card",Travel_Tourism_Booking_100_Records[[#This Row],[Travelers]]&gt;6),"Repeat Customer","Not Repeat")</f>
        <v>Not Repeat</v>
      </c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</row>
    <row r="86" spans="1:55" x14ac:dyDescent="0.35">
      <c r="A86" s="1" t="s">
        <v>231</v>
      </c>
      <c r="B86" s="1" t="s">
        <v>232</v>
      </c>
      <c r="C86" s="1" t="s">
        <v>61</v>
      </c>
      <c r="D86" s="1" t="s">
        <v>45</v>
      </c>
      <c r="E86" s="2">
        <v>46067</v>
      </c>
      <c r="F86" s="2">
        <v>46115</v>
      </c>
      <c r="G86">
        <v>1</v>
      </c>
      <c r="H86">
        <v>50732</v>
      </c>
      <c r="I86">
        <v>39304</v>
      </c>
      <c r="J86">
        <v>11428</v>
      </c>
      <c r="K86" s="1" t="s">
        <v>34</v>
      </c>
      <c r="L86" s="1" t="s">
        <v>82</v>
      </c>
      <c r="M86" s="1" t="s">
        <v>22</v>
      </c>
      <c r="N86" s="1" t="s">
        <v>36</v>
      </c>
      <c r="O86" s="1" t="s">
        <v>86</v>
      </c>
      <c r="P86" s="1" t="s">
        <v>38</v>
      </c>
      <c r="Q86" s="1" t="s">
        <v>26</v>
      </c>
      <c r="R86" s="1" t="s">
        <v>27</v>
      </c>
      <c r="S86" s="1" t="s">
        <v>76</v>
      </c>
      <c r="T86" s="1" t="s">
        <v>41</v>
      </c>
      <c r="U86">
        <v>571.4</v>
      </c>
      <c r="V86">
        <v>1067</v>
      </c>
      <c r="W86">
        <v>13066.4</v>
      </c>
      <c r="X86" s="1" t="s">
        <v>29</v>
      </c>
      <c r="Y86">
        <v>1071</v>
      </c>
      <c r="Z86">
        <v>11995.4</v>
      </c>
      <c r="AA86" s="6"/>
      <c r="AB86" s="4" t="str">
        <v>International Package</v>
      </c>
      <c r="AC86" s="4" t="str">
        <v>Normal Booking</v>
      </c>
      <c r="AD86" s="4" t="str">
        <v xml:space="preserve">Not Confirmed </v>
      </c>
      <c r="AE86" s="4" t="str">
        <v>Silver</v>
      </c>
      <c r="AF86" s="4" t="str">
        <v>Solo</v>
      </c>
      <c r="AG86" s="4" t="str">
        <f>IF(AND(Travel_Tourism_Booking_100_Records[[#This Row],[Booking Status]]="Confirmed",Travel_Tourism_Booking_100_Records[[#This Row],[Travelers]]&gt;=4),"Eligible","Not")</f>
        <v>Not</v>
      </c>
      <c r="AH86" s="4" t="str">
        <f>IF(AND(Travel_Tourism_Booking_100_Records[[#This Row],[Final Amount]]&gt;=75000,Travel_Tourism_Booking_100_Records[[#This Row],[Payment Mode]]="Credit Card"),"Eligible","Not Eligible")</f>
        <v>Not Eligible</v>
      </c>
      <c r="AI86" s="4" t="str">
        <f>IF(OR(Travel_Tourism_Booking_100_Records[[#This Row],[Booking Status]]="Confirmed",Travel_Tourism_Booking_100_Records[[#This Row],[Final Amount]]&gt;=150000),"High Priority","Not")</f>
        <v>Not</v>
      </c>
      <c r="AJ86" s="4" t="str">
        <f>IF(OR(Travel_Tourism_Booking_100_Records[[#This Row],[Payment Mode]]="Credit Card",Travel_Tourism_Booking_100_Records[[#This Row],[Travelers]]&gt;6),"Repeat Customer","Not Repeat")</f>
        <v>Not Repeat</v>
      </c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</row>
    <row r="87" spans="1:55" x14ac:dyDescent="0.35">
      <c r="A87" s="1" t="s">
        <v>233</v>
      </c>
      <c r="B87" s="1" t="s">
        <v>200</v>
      </c>
      <c r="C87" s="1" t="s">
        <v>95</v>
      </c>
      <c r="D87" s="1" t="s">
        <v>96</v>
      </c>
      <c r="E87" s="2">
        <v>46097</v>
      </c>
      <c r="F87" s="2">
        <v>46105</v>
      </c>
      <c r="G87">
        <v>2</v>
      </c>
      <c r="H87">
        <v>16388</v>
      </c>
      <c r="I87">
        <v>65332</v>
      </c>
      <c r="J87">
        <v>-48944</v>
      </c>
      <c r="K87" s="1" t="s">
        <v>79</v>
      </c>
      <c r="L87" s="1" t="s">
        <v>82</v>
      </c>
      <c r="M87" s="1" t="s">
        <v>46</v>
      </c>
      <c r="N87" s="1" t="s">
        <v>23</v>
      </c>
      <c r="O87" s="1" t="s">
        <v>63</v>
      </c>
      <c r="P87" s="1" t="s">
        <v>49</v>
      </c>
      <c r="Q87" s="1" t="s">
        <v>26</v>
      </c>
      <c r="R87" s="1" t="s">
        <v>40</v>
      </c>
      <c r="S87" s="1" t="s">
        <v>50</v>
      </c>
      <c r="T87" s="1" t="s">
        <v>41</v>
      </c>
      <c r="U87">
        <v>-2447.1999999999998</v>
      </c>
      <c r="V87">
        <v>1986</v>
      </c>
      <c r="W87">
        <v>-49405.2</v>
      </c>
      <c r="X87" s="1" t="s">
        <v>41</v>
      </c>
      <c r="Y87">
        <v>0</v>
      </c>
      <c r="Z87">
        <v>11995.4</v>
      </c>
      <c r="AA87" s="6"/>
      <c r="AB87" s="4" t="str">
        <v>Domestic Package</v>
      </c>
      <c r="AC87" s="4" t="str">
        <v>Normal Booking</v>
      </c>
      <c r="AD87" s="4" t="str">
        <v xml:space="preserve">Not Confirmed </v>
      </c>
      <c r="AE87" s="4" t="str">
        <v>Silver</v>
      </c>
      <c r="AF87" s="4" t="str">
        <v>Small Group</v>
      </c>
      <c r="AG87" s="4" t="str">
        <f>IF(AND(Travel_Tourism_Booking_100_Records[[#This Row],[Booking Status]]="Confirmed",Travel_Tourism_Booking_100_Records[[#This Row],[Travelers]]&gt;=4),"Eligible","Not")</f>
        <v>Not</v>
      </c>
      <c r="AH87" s="4" t="str">
        <f>IF(AND(Travel_Tourism_Booking_100_Records[[#This Row],[Final Amount]]&gt;=75000,Travel_Tourism_Booking_100_Records[[#This Row],[Payment Mode]]="Credit Card"),"Eligible","Not Eligible")</f>
        <v>Not Eligible</v>
      </c>
      <c r="AI87" s="4" t="str">
        <f>IF(OR(Travel_Tourism_Booking_100_Records[[#This Row],[Booking Status]]="Confirmed",Travel_Tourism_Booking_100_Records[[#This Row],[Final Amount]]&gt;=150000),"High Priority","Not")</f>
        <v>Not</v>
      </c>
      <c r="AJ87" s="4" t="str">
        <f>IF(OR(Travel_Tourism_Booking_100_Records[[#This Row],[Payment Mode]]="Credit Card",Travel_Tourism_Booking_100_Records[[#This Row],[Travelers]]&gt;6),"Repeat Customer","Not Repeat")</f>
        <v>Not Repeat</v>
      </c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</row>
    <row r="88" spans="1:55" x14ac:dyDescent="0.35">
      <c r="A88" s="1" t="s">
        <v>234</v>
      </c>
      <c r="B88" s="1" t="s">
        <v>202</v>
      </c>
      <c r="C88" s="1" t="s">
        <v>53</v>
      </c>
      <c r="D88" s="1" t="s">
        <v>71</v>
      </c>
      <c r="E88" s="2">
        <v>46104</v>
      </c>
      <c r="F88" s="2">
        <v>46130</v>
      </c>
      <c r="G88">
        <v>2</v>
      </c>
      <c r="H88">
        <v>119050</v>
      </c>
      <c r="I88">
        <v>86375</v>
      </c>
      <c r="J88">
        <v>32675</v>
      </c>
      <c r="K88" s="1" t="s">
        <v>54</v>
      </c>
      <c r="L88" s="1" t="s">
        <v>21</v>
      </c>
      <c r="M88" s="1" t="s">
        <v>72</v>
      </c>
      <c r="N88" s="1" t="s">
        <v>23</v>
      </c>
      <c r="O88" s="1" t="s">
        <v>48</v>
      </c>
      <c r="P88" s="1" t="s">
        <v>25</v>
      </c>
      <c r="Q88" s="1" t="s">
        <v>56</v>
      </c>
      <c r="R88" s="1" t="s">
        <v>57</v>
      </c>
      <c r="S88" s="1" t="s">
        <v>76</v>
      </c>
      <c r="T88" s="1" t="s">
        <v>41</v>
      </c>
      <c r="U88">
        <v>1633.75</v>
      </c>
      <c r="V88">
        <v>2519</v>
      </c>
      <c r="W88">
        <v>36827.75</v>
      </c>
      <c r="X88" s="1" t="s">
        <v>41</v>
      </c>
      <c r="Y88">
        <v>0</v>
      </c>
      <c r="Z88">
        <v>11995.4</v>
      </c>
      <c r="AA88" s="6"/>
      <c r="AB88" s="4" t="str">
        <v>International Package</v>
      </c>
      <c r="AC88" s="4" t="str">
        <v>High Value</v>
      </c>
      <c r="AD88" s="4" t="str">
        <v>Confirmed</v>
      </c>
      <c r="AE88" s="4" t="str">
        <v>Silver</v>
      </c>
      <c r="AF88" s="4" t="str">
        <v>Small Group</v>
      </c>
      <c r="AG88" s="4" t="str">
        <f>IF(AND(Travel_Tourism_Booking_100_Records[[#This Row],[Booking Status]]="Confirmed",Travel_Tourism_Booking_100_Records[[#This Row],[Travelers]]&gt;=4),"Eligible","Not")</f>
        <v>Not</v>
      </c>
      <c r="AH88" s="4" t="str">
        <f>IF(AND(Travel_Tourism_Booking_100_Records[[#This Row],[Final Amount]]&gt;=75000,Travel_Tourism_Booking_100_Records[[#This Row],[Payment Mode]]="Credit Card"),"Eligible","Not Eligible")</f>
        <v>Not Eligible</v>
      </c>
      <c r="AI88" s="4" t="str">
        <f>IF(OR(Travel_Tourism_Booking_100_Records[[#This Row],[Booking Status]]="Confirmed",Travel_Tourism_Booking_100_Records[[#This Row],[Final Amount]]&gt;=150000),"High Priority","Not")</f>
        <v>High Priority</v>
      </c>
      <c r="AJ88" s="4" t="str">
        <f>IF(OR(Travel_Tourism_Booking_100_Records[[#This Row],[Payment Mode]]="Credit Card",Travel_Tourism_Booking_100_Records[[#This Row],[Travelers]]&gt;6),"Repeat Customer","Not Repeat")</f>
        <v>Not Repeat</v>
      </c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</row>
    <row r="89" spans="1:55" x14ac:dyDescent="0.35">
      <c r="A89" s="1" t="s">
        <v>235</v>
      </c>
      <c r="B89" s="1" t="s">
        <v>236</v>
      </c>
      <c r="C89" s="1" t="s">
        <v>53</v>
      </c>
      <c r="D89" s="1" t="s">
        <v>45</v>
      </c>
      <c r="E89" s="2">
        <v>46109</v>
      </c>
      <c r="F89" s="2">
        <v>46119</v>
      </c>
      <c r="G89">
        <v>3</v>
      </c>
      <c r="H89">
        <v>117820</v>
      </c>
      <c r="I89">
        <v>75718</v>
      </c>
      <c r="J89">
        <v>42102</v>
      </c>
      <c r="K89" s="1" t="s">
        <v>54</v>
      </c>
      <c r="L89" s="1" t="s">
        <v>82</v>
      </c>
      <c r="M89" s="1" t="s">
        <v>22</v>
      </c>
      <c r="N89" s="1" t="s">
        <v>105</v>
      </c>
      <c r="O89" s="1" t="s">
        <v>37</v>
      </c>
      <c r="P89" s="1" t="s">
        <v>38</v>
      </c>
      <c r="Q89" s="1" t="s">
        <v>56</v>
      </c>
      <c r="R89" s="1" t="s">
        <v>27</v>
      </c>
      <c r="S89" s="1" t="s">
        <v>58</v>
      </c>
      <c r="T89" s="1" t="s">
        <v>41</v>
      </c>
      <c r="U89">
        <v>2105.1</v>
      </c>
      <c r="V89">
        <v>1973</v>
      </c>
      <c r="W89">
        <v>46180.1</v>
      </c>
      <c r="X89" s="1" t="s">
        <v>41</v>
      </c>
      <c r="Y89">
        <v>0</v>
      </c>
      <c r="Z89">
        <v>11995.4</v>
      </c>
      <c r="AA89" s="6"/>
      <c r="AB89" s="4" t="str">
        <v>International Package</v>
      </c>
      <c r="AC89" s="4" t="str">
        <v>High Value</v>
      </c>
      <c r="AD89" s="4" t="str">
        <v xml:space="preserve">Not Confirmed </v>
      </c>
      <c r="AE89" s="4" t="str">
        <v>Silver</v>
      </c>
      <c r="AF89" s="4" t="str">
        <v>Small Group</v>
      </c>
      <c r="AG89" s="4" t="str">
        <f>IF(AND(Travel_Tourism_Booking_100_Records[[#This Row],[Booking Status]]="Confirmed",Travel_Tourism_Booking_100_Records[[#This Row],[Travelers]]&gt;=4),"Eligible","Not")</f>
        <v>Not</v>
      </c>
      <c r="AH89" s="4" t="str">
        <f>IF(AND(Travel_Tourism_Booking_100_Records[[#This Row],[Final Amount]]&gt;=75000,Travel_Tourism_Booking_100_Records[[#This Row],[Payment Mode]]="Credit Card"),"Eligible","Not Eligible")</f>
        <v>Not Eligible</v>
      </c>
      <c r="AI89" s="4" t="str">
        <f>IF(OR(Travel_Tourism_Booking_100_Records[[#This Row],[Booking Status]]="Confirmed",Travel_Tourism_Booking_100_Records[[#This Row],[Final Amount]]&gt;=150000),"High Priority","Not")</f>
        <v>Not</v>
      </c>
      <c r="AJ89" s="4" t="str">
        <f>IF(OR(Travel_Tourism_Booking_100_Records[[#This Row],[Payment Mode]]="Credit Card",Travel_Tourism_Booking_100_Records[[#This Row],[Travelers]]&gt;6),"Repeat Customer","Not Repeat")</f>
        <v>Not Repeat</v>
      </c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</row>
    <row r="90" spans="1:55" x14ac:dyDescent="0.35">
      <c r="A90" s="1" t="s">
        <v>237</v>
      </c>
      <c r="B90" s="1" t="s">
        <v>81</v>
      </c>
      <c r="C90" s="1" t="s">
        <v>53</v>
      </c>
      <c r="D90" s="1" t="s">
        <v>96</v>
      </c>
      <c r="E90" s="2">
        <v>46067</v>
      </c>
      <c r="F90" s="2">
        <v>46084</v>
      </c>
      <c r="G90">
        <v>4</v>
      </c>
      <c r="H90">
        <v>106034</v>
      </c>
      <c r="I90">
        <v>43464</v>
      </c>
      <c r="J90">
        <v>62570</v>
      </c>
      <c r="K90" s="1" t="s">
        <v>20</v>
      </c>
      <c r="L90" s="1" t="s">
        <v>21</v>
      </c>
      <c r="M90" s="1" t="s">
        <v>46</v>
      </c>
      <c r="N90" s="1" t="s">
        <v>47</v>
      </c>
      <c r="O90" s="1" t="s">
        <v>24</v>
      </c>
      <c r="P90" s="1" t="s">
        <v>75</v>
      </c>
      <c r="Q90" s="1" t="s">
        <v>56</v>
      </c>
      <c r="R90" s="1" t="s">
        <v>40</v>
      </c>
      <c r="S90" s="1" t="s">
        <v>76</v>
      </c>
      <c r="T90" s="1" t="s">
        <v>41</v>
      </c>
      <c r="U90">
        <v>3128.5</v>
      </c>
      <c r="V90">
        <v>1323</v>
      </c>
      <c r="W90">
        <v>67021.5</v>
      </c>
      <c r="X90" s="1" t="s">
        <v>29</v>
      </c>
      <c r="Y90">
        <v>2766</v>
      </c>
      <c r="Z90">
        <v>64255.5</v>
      </c>
      <c r="AA90" s="6"/>
      <c r="AB90" s="4" t="str">
        <v>International Package</v>
      </c>
      <c r="AC90" s="4" t="str">
        <v>High Value</v>
      </c>
      <c r="AD90" s="4" t="str">
        <v>Confirmed</v>
      </c>
      <c r="AE90" s="4" t="str">
        <v>Gold</v>
      </c>
      <c r="AF90" s="4" t="str">
        <v>Small Group</v>
      </c>
      <c r="AG90" s="4" t="str">
        <f>IF(AND(Travel_Tourism_Booking_100_Records[[#This Row],[Booking Status]]="Confirmed",Travel_Tourism_Booking_100_Records[[#This Row],[Travelers]]&gt;=4),"Eligible","Not")</f>
        <v>Eligible</v>
      </c>
      <c r="AH90" s="4" t="str">
        <f>IF(AND(Travel_Tourism_Booking_100_Records[[#This Row],[Final Amount]]&gt;=75000,Travel_Tourism_Booking_100_Records[[#This Row],[Payment Mode]]="Credit Card"),"Eligible","Not Eligible")</f>
        <v>Not Eligible</v>
      </c>
      <c r="AI90" s="4" t="str">
        <f>IF(OR(Travel_Tourism_Booking_100_Records[[#This Row],[Booking Status]]="Confirmed",Travel_Tourism_Booking_100_Records[[#This Row],[Final Amount]]&gt;=150000),"High Priority","Not")</f>
        <v>High Priority</v>
      </c>
      <c r="AJ90" s="4" t="str">
        <f>IF(OR(Travel_Tourism_Booking_100_Records[[#This Row],[Payment Mode]]="Credit Card",Travel_Tourism_Booking_100_Records[[#This Row],[Travelers]]&gt;6),"Repeat Customer","Not Repeat")</f>
        <v>Not Repeat</v>
      </c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</row>
    <row r="91" spans="1:55" x14ac:dyDescent="0.35">
      <c r="A91" s="1" t="s">
        <v>238</v>
      </c>
      <c r="B91" s="1" t="s">
        <v>239</v>
      </c>
      <c r="C91" s="1" t="s">
        <v>61</v>
      </c>
      <c r="D91" s="1" t="s">
        <v>33</v>
      </c>
      <c r="E91" s="2">
        <v>46106</v>
      </c>
      <c r="F91" s="2">
        <v>46161</v>
      </c>
      <c r="G91">
        <v>3</v>
      </c>
      <c r="H91">
        <v>16248</v>
      </c>
      <c r="I91">
        <v>47409</v>
      </c>
      <c r="J91">
        <v>-31161</v>
      </c>
      <c r="K91" s="1" t="s">
        <v>108</v>
      </c>
      <c r="L91" s="1" t="s">
        <v>21</v>
      </c>
      <c r="M91" s="1" t="s">
        <v>72</v>
      </c>
      <c r="N91" s="1" t="s">
        <v>67</v>
      </c>
      <c r="O91" s="1" t="s">
        <v>48</v>
      </c>
      <c r="P91" s="1" t="s">
        <v>38</v>
      </c>
      <c r="Q91" s="1" t="s">
        <v>26</v>
      </c>
      <c r="R91" s="1" t="s">
        <v>27</v>
      </c>
      <c r="S91" s="1" t="s">
        <v>28</v>
      </c>
      <c r="T91" s="1" t="s">
        <v>29</v>
      </c>
      <c r="U91">
        <v>-1558.05</v>
      </c>
      <c r="V91">
        <v>785</v>
      </c>
      <c r="W91">
        <v>-31934.05</v>
      </c>
      <c r="X91" s="1" t="s">
        <v>29</v>
      </c>
      <c r="Y91">
        <v>918</v>
      </c>
      <c r="Z91">
        <v>-32852.050000000003</v>
      </c>
      <c r="AA91" s="6"/>
      <c r="AB91" s="4" t="str">
        <v>International Package</v>
      </c>
      <c r="AC91" s="4" t="str">
        <v>Normal Booking</v>
      </c>
      <c r="AD91" s="4" t="str">
        <v>Confirmed</v>
      </c>
      <c r="AE91" s="4" t="str">
        <v>Silver</v>
      </c>
      <c r="AF91" s="4" t="str">
        <v>Small Group</v>
      </c>
      <c r="AG91" s="4" t="str">
        <f>IF(AND(Travel_Tourism_Booking_100_Records[[#This Row],[Booking Status]]="Confirmed",Travel_Tourism_Booking_100_Records[[#This Row],[Travelers]]&gt;=4),"Eligible","Not")</f>
        <v>Not</v>
      </c>
      <c r="AH91" s="4" t="str">
        <f>IF(AND(Travel_Tourism_Booking_100_Records[[#This Row],[Final Amount]]&gt;=75000,Travel_Tourism_Booking_100_Records[[#This Row],[Payment Mode]]="Credit Card"),"Eligible","Not Eligible")</f>
        <v>Not Eligible</v>
      </c>
      <c r="AI91" s="4" t="str">
        <f>IF(OR(Travel_Tourism_Booking_100_Records[[#This Row],[Booking Status]]="Confirmed",Travel_Tourism_Booking_100_Records[[#This Row],[Final Amount]]&gt;=150000),"High Priority","Not")</f>
        <v>High Priority</v>
      </c>
      <c r="AJ91" s="4" t="str">
        <f>IF(OR(Travel_Tourism_Booking_100_Records[[#This Row],[Payment Mode]]="Credit Card",Travel_Tourism_Booking_100_Records[[#This Row],[Travelers]]&gt;6),"Repeat Customer","Not Repeat")</f>
        <v>Repeat Customer</v>
      </c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</row>
    <row r="92" spans="1:55" x14ac:dyDescent="0.35">
      <c r="A92" s="1" t="s">
        <v>240</v>
      </c>
      <c r="B92" s="1" t="s">
        <v>241</v>
      </c>
      <c r="C92" s="1" t="s">
        <v>53</v>
      </c>
      <c r="D92" s="1" t="s">
        <v>33</v>
      </c>
      <c r="E92" s="2">
        <v>46056</v>
      </c>
      <c r="F92" s="2">
        <v>46074</v>
      </c>
      <c r="G92">
        <v>2</v>
      </c>
      <c r="H92">
        <v>71858</v>
      </c>
      <c r="I92">
        <v>103626</v>
      </c>
      <c r="J92">
        <v>-31768</v>
      </c>
      <c r="K92" s="1" t="s">
        <v>34</v>
      </c>
      <c r="L92" s="1" t="s">
        <v>66</v>
      </c>
      <c r="M92" s="1" t="s">
        <v>72</v>
      </c>
      <c r="N92" s="1" t="s">
        <v>47</v>
      </c>
      <c r="O92" s="1" t="s">
        <v>92</v>
      </c>
      <c r="P92" s="1" t="s">
        <v>25</v>
      </c>
      <c r="Q92" s="1" t="s">
        <v>26</v>
      </c>
      <c r="R92" s="1" t="s">
        <v>27</v>
      </c>
      <c r="S92" s="1" t="s">
        <v>76</v>
      </c>
      <c r="T92" s="1" t="s">
        <v>41</v>
      </c>
      <c r="U92">
        <v>-1588.4</v>
      </c>
      <c r="V92">
        <v>2295</v>
      </c>
      <c r="W92">
        <v>-31061.4</v>
      </c>
      <c r="X92" s="1" t="s">
        <v>41</v>
      </c>
      <c r="Y92">
        <v>0</v>
      </c>
      <c r="Z92">
        <v>-32852.050000000003</v>
      </c>
      <c r="AA92" s="6"/>
      <c r="AB92" s="4" t="str">
        <v>International Package</v>
      </c>
      <c r="AC92" s="4" t="str">
        <v>Normal Booking</v>
      </c>
      <c r="AD92" s="4" t="str">
        <v xml:space="preserve">Not Confirmed </v>
      </c>
      <c r="AE92" s="4" t="str">
        <v>Silver</v>
      </c>
      <c r="AF92" s="4" t="str">
        <v>Small Group</v>
      </c>
      <c r="AG92" s="4" t="str">
        <f>IF(AND(Travel_Tourism_Booking_100_Records[[#This Row],[Booking Status]]="Confirmed",Travel_Tourism_Booking_100_Records[[#This Row],[Travelers]]&gt;=4),"Eligible","Not")</f>
        <v>Not</v>
      </c>
      <c r="AH92" s="4" t="str">
        <f>IF(AND(Travel_Tourism_Booking_100_Records[[#This Row],[Final Amount]]&gt;=75000,Travel_Tourism_Booking_100_Records[[#This Row],[Payment Mode]]="Credit Card"),"Eligible","Not Eligible")</f>
        <v>Not Eligible</v>
      </c>
      <c r="AI92" s="4" t="str">
        <f>IF(OR(Travel_Tourism_Booking_100_Records[[#This Row],[Booking Status]]="Confirmed",Travel_Tourism_Booking_100_Records[[#This Row],[Final Amount]]&gt;=150000),"High Priority","Not")</f>
        <v>Not</v>
      </c>
      <c r="AJ92" s="4" t="str">
        <f>IF(OR(Travel_Tourism_Booking_100_Records[[#This Row],[Payment Mode]]="Credit Card",Travel_Tourism_Booking_100_Records[[#This Row],[Travelers]]&gt;6),"Repeat Customer","Not Repeat")</f>
        <v>Not Repeat</v>
      </c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</row>
    <row r="93" spans="1:55" x14ac:dyDescent="0.35">
      <c r="A93" s="1" t="s">
        <v>242</v>
      </c>
      <c r="B93" s="1" t="s">
        <v>219</v>
      </c>
      <c r="C93" s="1" t="s">
        <v>18</v>
      </c>
      <c r="D93" s="1" t="s">
        <v>71</v>
      </c>
      <c r="E93" s="2">
        <v>46141</v>
      </c>
      <c r="F93" s="2">
        <v>46179</v>
      </c>
      <c r="G93">
        <v>5</v>
      </c>
      <c r="H93">
        <v>117328</v>
      </c>
      <c r="I93">
        <v>109564</v>
      </c>
      <c r="J93">
        <v>7764</v>
      </c>
      <c r="K93" s="1" t="s">
        <v>79</v>
      </c>
      <c r="L93" s="1" t="s">
        <v>21</v>
      </c>
      <c r="M93" s="1" t="s">
        <v>22</v>
      </c>
      <c r="N93" s="1" t="s">
        <v>36</v>
      </c>
      <c r="O93" s="1" t="s">
        <v>92</v>
      </c>
      <c r="P93" s="1" t="s">
        <v>38</v>
      </c>
      <c r="Q93" s="1" t="s">
        <v>39</v>
      </c>
      <c r="R93" s="1" t="s">
        <v>40</v>
      </c>
      <c r="S93" s="1" t="s">
        <v>28</v>
      </c>
      <c r="T93" s="1" t="s">
        <v>29</v>
      </c>
      <c r="U93">
        <v>388.2</v>
      </c>
      <c r="V93">
        <v>1216</v>
      </c>
      <c r="W93">
        <v>9368.2000000000007</v>
      </c>
      <c r="X93" s="1" t="s">
        <v>29</v>
      </c>
      <c r="Y93">
        <v>1437</v>
      </c>
      <c r="Z93">
        <v>7931.2000000000007</v>
      </c>
      <c r="AA93" s="6"/>
      <c r="AB93" s="4" t="str">
        <v>International Package</v>
      </c>
      <c r="AC93" s="4" t="str">
        <v>High Value</v>
      </c>
      <c r="AD93" s="4" t="str">
        <v>Confirmed</v>
      </c>
      <c r="AE93" s="4" t="str">
        <v>Silver</v>
      </c>
      <c r="AF93" s="4" t="str">
        <v>Family</v>
      </c>
      <c r="AG93" s="4" t="str">
        <f>IF(AND(Travel_Tourism_Booking_100_Records[[#This Row],[Booking Status]]="Confirmed",Travel_Tourism_Booking_100_Records[[#This Row],[Travelers]]&gt;=4),"Eligible","Not")</f>
        <v>Eligible</v>
      </c>
      <c r="AH93" s="4" t="str">
        <f>IF(AND(Travel_Tourism_Booking_100_Records[[#This Row],[Final Amount]]&gt;=75000,Travel_Tourism_Booking_100_Records[[#This Row],[Payment Mode]]="Credit Card"),"Eligible","Not Eligible")</f>
        <v>Not Eligible</v>
      </c>
      <c r="AI93" s="4" t="str">
        <f>IF(OR(Travel_Tourism_Booking_100_Records[[#This Row],[Booking Status]]="Confirmed",Travel_Tourism_Booking_100_Records[[#This Row],[Final Amount]]&gt;=150000),"High Priority","Not")</f>
        <v>High Priority</v>
      </c>
      <c r="AJ93" s="4" t="str">
        <f>IF(OR(Travel_Tourism_Booking_100_Records[[#This Row],[Payment Mode]]="Credit Card",Travel_Tourism_Booking_100_Records[[#This Row],[Travelers]]&gt;6),"Repeat Customer","Not Repeat")</f>
        <v>Not Repeat</v>
      </c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</row>
    <row r="94" spans="1:55" x14ac:dyDescent="0.35">
      <c r="A94" s="1" t="s">
        <v>243</v>
      </c>
      <c r="B94" s="1" t="s">
        <v>244</v>
      </c>
      <c r="C94" s="1" t="s">
        <v>53</v>
      </c>
      <c r="D94" s="1" t="s">
        <v>96</v>
      </c>
      <c r="E94" s="2">
        <v>46117</v>
      </c>
      <c r="F94" s="2">
        <v>46165</v>
      </c>
      <c r="G94">
        <v>5</v>
      </c>
      <c r="H94">
        <v>109250</v>
      </c>
      <c r="I94">
        <v>103518</v>
      </c>
      <c r="J94">
        <v>5732</v>
      </c>
      <c r="K94" s="1" t="s">
        <v>108</v>
      </c>
      <c r="L94" s="1" t="s">
        <v>66</v>
      </c>
      <c r="M94" s="1" t="s">
        <v>35</v>
      </c>
      <c r="N94" s="1" t="s">
        <v>67</v>
      </c>
      <c r="O94" s="1" t="s">
        <v>86</v>
      </c>
      <c r="P94" s="1" t="s">
        <v>38</v>
      </c>
      <c r="Q94" s="1" t="s">
        <v>26</v>
      </c>
      <c r="R94" s="1" t="s">
        <v>27</v>
      </c>
      <c r="S94" s="1" t="s">
        <v>58</v>
      </c>
      <c r="T94" s="1" t="s">
        <v>41</v>
      </c>
      <c r="U94">
        <v>286.60000000000002</v>
      </c>
      <c r="V94">
        <v>1201</v>
      </c>
      <c r="W94">
        <v>7219.6</v>
      </c>
      <c r="X94" s="1" t="s">
        <v>41</v>
      </c>
      <c r="Y94">
        <v>0</v>
      </c>
      <c r="Z94">
        <v>7931.2000000000007</v>
      </c>
      <c r="AA94" s="6"/>
      <c r="AB94" s="4" t="str">
        <v>International Package</v>
      </c>
      <c r="AC94" s="4" t="str">
        <v>High Value</v>
      </c>
      <c r="AD94" s="4" t="str">
        <v xml:space="preserve">Not Confirmed </v>
      </c>
      <c r="AE94" s="4" t="str">
        <v>Silver</v>
      </c>
      <c r="AF94" s="4" t="str">
        <v>Family</v>
      </c>
      <c r="AG94" s="4" t="str">
        <f>IF(AND(Travel_Tourism_Booking_100_Records[[#This Row],[Booking Status]]="Confirmed",Travel_Tourism_Booking_100_Records[[#This Row],[Travelers]]&gt;=4),"Eligible","Not")</f>
        <v>Not</v>
      </c>
      <c r="AH94" s="4" t="str">
        <f>IF(AND(Travel_Tourism_Booking_100_Records[[#This Row],[Final Amount]]&gt;=75000,Travel_Tourism_Booking_100_Records[[#This Row],[Payment Mode]]="Credit Card"),"Eligible","Not Eligible")</f>
        <v>Not Eligible</v>
      </c>
      <c r="AI94" s="4" t="str">
        <f>IF(OR(Travel_Tourism_Booking_100_Records[[#This Row],[Booking Status]]="Confirmed",Travel_Tourism_Booking_100_Records[[#This Row],[Final Amount]]&gt;=150000),"High Priority","Not")</f>
        <v>Not</v>
      </c>
      <c r="AJ94" s="4" t="str">
        <f>IF(OR(Travel_Tourism_Booking_100_Records[[#This Row],[Payment Mode]]="Credit Card",Travel_Tourism_Booking_100_Records[[#This Row],[Travelers]]&gt;6),"Repeat Customer","Not Repeat")</f>
        <v>Repeat Customer</v>
      </c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</row>
    <row r="95" spans="1:55" x14ac:dyDescent="0.35">
      <c r="A95" s="1" t="s">
        <v>245</v>
      </c>
      <c r="B95" s="1" t="s">
        <v>246</v>
      </c>
      <c r="C95" s="1" t="s">
        <v>53</v>
      </c>
      <c r="D95" s="1" t="s">
        <v>45</v>
      </c>
      <c r="E95" s="2">
        <v>46078</v>
      </c>
      <c r="F95" s="2">
        <v>46127</v>
      </c>
      <c r="G95">
        <v>4</v>
      </c>
      <c r="H95">
        <v>134019</v>
      </c>
      <c r="I95">
        <v>16290</v>
      </c>
      <c r="J95">
        <v>117729</v>
      </c>
      <c r="K95" s="1" t="s">
        <v>54</v>
      </c>
      <c r="L95" s="1" t="s">
        <v>66</v>
      </c>
      <c r="M95" s="1" t="s">
        <v>35</v>
      </c>
      <c r="N95" s="1" t="s">
        <v>73</v>
      </c>
      <c r="O95" s="1" t="s">
        <v>92</v>
      </c>
      <c r="P95" s="1" t="s">
        <v>38</v>
      </c>
      <c r="Q95" s="1" t="s">
        <v>56</v>
      </c>
      <c r="R95" s="1" t="s">
        <v>40</v>
      </c>
      <c r="S95" s="1" t="s">
        <v>50</v>
      </c>
      <c r="T95" s="1" t="s">
        <v>29</v>
      </c>
      <c r="U95">
        <v>5886.45</v>
      </c>
      <c r="V95">
        <v>2509</v>
      </c>
      <c r="W95">
        <v>126124.45</v>
      </c>
      <c r="X95" s="1" t="s">
        <v>29</v>
      </c>
      <c r="Y95">
        <v>1394</v>
      </c>
      <c r="Z95">
        <v>124730.45</v>
      </c>
      <c r="AA95" s="6"/>
      <c r="AB95" s="4" t="str">
        <v>International Package</v>
      </c>
      <c r="AC95" s="4" t="str">
        <v>High Value</v>
      </c>
      <c r="AD95" s="4" t="str">
        <v xml:space="preserve">Not Confirmed </v>
      </c>
      <c r="AE95" s="4" t="str">
        <v>Platinum</v>
      </c>
      <c r="AF95" s="4" t="str">
        <v>Small Group</v>
      </c>
      <c r="AG95" s="4" t="str">
        <f>IF(AND(Travel_Tourism_Booking_100_Records[[#This Row],[Booking Status]]="Confirmed",Travel_Tourism_Booking_100_Records[[#This Row],[Travelers]]&gt;=4),"Eligible","Not")</f>
        <v>Not</v>
      </c>
      <c r="AH95" s="4" t="str">
        <f>IF(AND(Travel_Tourism_Booking_100_Records[[#This Row],[Final Amount]]&gt;=75000,Travel_Tourism_Booking_100_Records[[#This Row],[Payment Mode]]="Credit Card"),"Eligible","Not Eligible")</f>
        <v>Not Eligible</v>
      </c>
      <c r="AI95" s="4" t="str">
        <f>IF(OR(Travel_Tourism_Booking_100_Records[[#This Row],[Booking Status]]="Confirmed",Travel_Tourism_Booking_100_Records[[#This Row],[Final Amount]]&gt;=150000),"High Priority","Not")</f>
        <v>Not</v>
      </c>
      <c r="AJ95" s="4" t="str">
        <f>IF(OR(Travel_Tourism_Booking_100_Records[[#This Row],[Payment Mode]]="Credit Card",Travel_Tourism_Booking_100_Records[[#This Row],[Travelers]]&gt;6),"Repeat Customer","Not Repeat")</f>
        <v>Not Repeat</v>
      </c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</row>
    <row r="96" spans="1:55" x14ac:dyDescent="0.35">
      <c r="A96" s="1" t="s">
        <v>247</v>
      </c>
      <c r="B96" s="1" t="s">
        <v>248</v>
      </c>
      <c r="C96" s="1" t="s">
        <v>111</v>
      </c>
      <c r="D96" s="1" t="s">
        <v>19</v>
      </c>
      <c r="E96" s="2">
        <v>46172</v>
      </c>
      <c r="F96" s="2">
        <v>46192</v>
      </c>
      <c r="G96">
        <v>3</v>
      </c>
      <c r="H96">
        <v>132253</v>
      </c>
      <c r="I96">
        <v>147095</v>
      </c>
      <c r="J96">
        <v>-14842</v>
      </c>
      <c r="K96" s="1" t="s">
        <v>108</v>
      </c>
      <c r="L96" s="1" t="s">
        <v>21</v>
      </c>
      <c r="M96" s="1" t="s">
        <v>35</v>
      </c>
      <c r="N96" s="1" t="s">
        <v>140</v>
      </c>
      <c r="O96" s="1" t="s">
        <v>74</v>
      </c>
      <c r="P96" s="1" t="s">
        <v>49</v>
      </c>
      <c r="Q96" s="1" t="s">
        <v>56</v>
      </c>
      <c r="R96" s="1" t="s">
        <v>57</v>
      </c>
      <c r="S96" s="1" t="s">
        <v>76</v>
      </c>
      <c r="T96" s="1" t="s">
        <v>41</v>
      </c>
      <c r="U96">
        <v>-742.1</v>
      </c>
      <c r="V96">
        <v>1281</v>
      </c>
      <c r="W96">
        <v>-14303.1</v>
      </c>
      <c r="X96" s="1" t="s">
        <v>41</v>
      </c>
      <c r="Y96">
        <v>0</v>
      </c>
      <c r="Z96">
        <v>124730.45</v>
      </c>
      <c r="AA96" s="6"/>
      <c r="AB96" s="4" t="str">
        <v>International Package</v>
      </c>
      <c r="AC96" s="4" t="str">
        <v>High Value</v>
      </c>
      <c r="AD96" s="4" t="str">
        <v>Confirmed</v>
      </c>
      <c r="AE96" s="4" t="str">
        <v>Silver</v>
      </c>
      <c r="AF96" s="4" t="str">
        <v>Small Group</v>
      </c>
      <c r="AG96" s="4" t="str">
        <f>IF(AND(Travel_Tourism_Booking_100_Records[[#This Row],[Booking Status]]="Confirmed",Travel_Tourism_Booking_100_Records[[#This Row],[Travelers]]&gt;=4),"Eligible","Not")</f>
        <v>Not</v>
      </c>
      <c r="AH96" s="4" t="str">
        <f>IF(AND(Travel_Tourism_Booking_100_Records[[#This Row],[Final Amount]]&gt;=75000,Travel_Tourism_Booking_100_Records[[#This Row],[Payment Mode]]="Credit Card"),"Eligible","Not Eligible")</f>
        <v>Not Eligible</v>
      </c>
      <c r="AI96" s="4" t="str">
        <f>IF(OR(Travel_Tourism_Booking_100_Records[[#This Row],[Booking Status]]="Confirmed",Travel_Tourism_Booking_100_Records[[#This Row],[Final Amount]]&gt;=150000),"High Priority","Not")</f>
        <v>High Priority</v>
      </c>
      <c r="AJ96" s="4" t="str">
        <f>IF(OR(Travel_Tourism_Booking_100_Records[[#This Row],[Payment Mode]]="Credit Card",Travel_Tourism_Booking_100_Records[[#This Row],[Travelers]]&gt;6),"Repeat Customer","Not Repeat")</f>
        <v>Repeat Customer</v>
      </c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</row>
    <row r="97" spans="1:55" x14ac:dyDescent="0.35">
      <c r="A97" s="1" t="s">
        <v>249</v>
      </c>
      <c r="B97" s="1" t="s">
        <v>250</v>
      </c>
      <c r="C97" s="1" t="s">
        <v>70</v>
      </c>
      <c r="D97" s="1" t="s">
        <v>33</v>
      </c>
      <c r="E97" s="2">
        <v>46038</v>
      </c>
      <c r="F97" s="2">
        <v>46096</v>
      </c>
      <c r="G97">
        <v>6</v>
      </c>
      <c r="H97">
        <v>73135</v>
      </c>
      <c r="I97">
        <v>123550</v>
      </c>
      <c r="J97">
        <v>-50415</v>
      </c>
      <c r="K97" s="1" t="s">
        <v>79</v>
      </c>
      <c r="L97" s="1" t="s">
        <v>21</v>
      </c>
      <c r="M97" s="1" t="s">
        <v>72</v>
      </c>
      <c r="N97" s="1" t="s">
        <v>67</v>
      </c>
      <c r="O97" s="1" t="s">
        <v>48</v>
      </c>
      <c r="P97" s="1" t="s">
        <v>25</v>
      </c>
      <c r="Q97" s="1" t="s">
        <v>39</v>
      </c>
      <c r="R97" s="1" t="s">
        <v>27</v>
      </c>
      <c r="S97" s="1" t="s">
        <v>58</v>
      </c>
      <c r="T97" s="1" t="s">
        <v>29</v>
      </c>
      <c r="U97">
        <v>-2520.75</v>
      </c>
      <c r="V97">
        <v>958</v>
      </c>
      <c r="W97">
        <v>-51977.75</v>
      </c>
      <c r="X97" s="1" t="s">
        <v>29</v>
      </c>
      <c r="Y97">
        <v>2915</v>
      </c>
      <c r="Z97">
        <v>-54892.75</v>
      </c>
      <c r="AA97" s="6"/>
      <c r="AB97" s="4" t="str">
        <v>International Package</v>
      </c>
      <c r="AC97" s="4" t="str">
        <v>Normal Booking</v>
      </c>
      <c r="AD97" s="4" t="str">
        <v>Confirmed</v>
      </c>
      <c r="AE97" s="4" t="str">
        <v>Silver</v>
      </c>
      <c r="AF97" s="4" t="str">
        <v>Family</v>
      </c>
      <c r="AG97" s="4" t="str">
        <f>IF(AND(Travel_Tourism_Booking_100_Records[[#This Row],[Booking Status]]="Confirmed",Travel_Tourism_Booking_100_Records[[#This Row],[Travelers]]&gt;=4),"Eligible","Not")</f>
        <v>Eligible</v>
      </c>
      <c r="AH97" s="4" t="str">
        <f>IF(AND(Travel_Tourism_Booking_100_Records[[#This Row],[Final Amount]]&gt;=75000,Travel_Tourism_Booking_100_Records[[#This Row],[Payment Mode]]="Credit Card"),"Eligible","Not Eligible")</f>
        <v>Not Eligible</v>
      </c>
      <c r="AI97" s="4" t="str">
        <f>IF(OR(Travel_Tourism_Booking_100_Records[[#This Row],[Booking Status]]="Confirmed",Travel_Tourism_Booking_100_Records[[#This Row],[Final Amount]]&gt;=150000),"High Priority","Not")</f>
        <v>High Priority</v>
      </c>
      <c r="AJ97" s="4" t="str">
        <f>IF(OR(Travel_Tourism_Booking_100_Records[[#This Row],[Payment Mode]]="Credit Card",Travel_Tourism_Booking_100_Records[[#This Row],[Travelers]]&gt;6),"Repeat Customer","Not Repeat")</f>
        <v>Not Repeat</v>
      </c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</row>
    <row r="98" spans="1:55" x14ac:dyDescent="0.35">
      <c r="A98" s="1" t="s">
        <v>251</v>
      </c>
      <c r="B98" s="1" t="s">
        <v>230</v>
      </c>
      <c r="C98" s="1" t="s">
        <v>32</v>
      </c>
      <c r="D98" s="1" t="s">
        <v>33</v>
      </c>
      <c r="E98" s="2">
        <v>46099</v>
      </c>
      <c r="F98" s="2">
        <v>46116</v>
      </c>
      <c r="G98">
        <v>4</v>
      </c>
      <c r="H98">
        <v>38925</v>
      </c>
      <c r="I98">
        <v>40379</v>
      </c>
      <c r="J98">
        <v>-1454</v>
      </c>
      <c r="K98" s="1" t="s">
        <v>20</v>
      </c>
      <c r="L98" s="1" t="s">
        <v>21</v>
      </c>
      <c r="M98" s="1" t="s">
        <v>46</v>
      </c>
      <c r="N98" s="1" t="s">
        <v>23</v>
      </c>
      <c r="O98" s="1" t="s">
        <v>92</v>
      </c>
      <c r="P98" s="1" t="s">
        <v>75</v>
      </c>
      <c r="Q98" s="1" t="s">
        <v>56</v>
      </c>
      <c r="R98" s="1" t="s">
        <v>40</v>
      </c>
      <c r="S98" s="1" t="s">
        <v>76</v>
      </c>
      <c r="T98" s="1" t="s">
        <v>41</v>
      </c>
      <c r="U98">
        <v>-72.7</v>
      </c>
      <c r="V98">
        <v>2883</v>
      </c>
      <c r="W98">
        <v>1356.3</v>
      </c>
      <c r="X98" s="1" t="s">
        <v>29</v>
      </c>
      <c r="Y98">
        <v>2385</v>
      </c>
      <c r="Z98">
        <v>-1028.7</v>
      </c>
      <c r="AA98" s="6"/>
      <c r="AB98" s="4" t="str">
        <v>International Package</v>
      </c>
      <c r="AC98" s="4" t="str">
        <v>Normal Booking</v>
      </c>
      <c r="AD98" s="4" t="str">
        <v>Confirmed</v>
      </c>
      <c r="AE98" s="4" t="str">
        <v>Silver</v>
      </c>
      <c r="AF98" s="4" t="str">
        <v>Small Group</v>
      </c>
      <c r="AG98" s="4" t="str">
        <f>IF(AND(Travel_Tourism_Booking_100_Records[[#This Row],[Booking Status]]="Confirmed",Travel_Tourism_Booking_100_Records[[#This Row],[Travelers]]&gt;=4),"Eligible","Not")</f>
        <v>Eligible</v>
      </c>
      <c r="AH98" s="4" t="str">
        <f>IF(AND(Travel_Tourism_Booking_100_Records[[#This Row],[Final Amount]]&gt;=75000,Travel_Tourism_Booking_100_Records[[#This Row],[Payment Mode]]="Credit Card"),"Eligible","Not Eligible")</f>
        <v>Not Eligible</v>
      </c>
      <c r="AI98" s="4" t="str">
        <f>IF(OR(Travel_Tourism_Booking_100_Records[[#This Row],[Booking Status]]="Confirmed",Travel_Tourism_Booking_100_Records[[#This Row],[Final Amount]]&gt;=150000),"High Priority","Not")</f>
        <v>High Priority</v>
      </c>
      <c r="AJ98" s="4" t="str">
        <f>IF(OR(Travel_Tourism_Booking_100_Records[[#This Row],[Payment Mode]]="Credit Card",Travel_Tourism_Booking_100_Records[[#This Row],[Travelers]]&gt;6),"Repeat Customer","Not Repeat")</f>
        <v>Not Repeat</v>
      </c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</row>
    <row r="99" spans="1:55" x14ac:dyDescent="0.35">
      <c r="A99" s="1" t="s">
        <v>252</v>
      </c>
      <c r="B99" s="1" t="s">
        <v>84</v>
      </c>
      <c r="C99" s="1" t="s">
        <v>61</v>
      </c>
      <c r="D99" s="1" t="s">
        <v>33</v>
      </c>
      <c r="E99" s="2">
        <v>46167</v>
      </c>
      <c r="F99" s="2">
        <v>46205</v>
      </c>
      <c r="G99">
        <v>5</v>
      </c>
      <c r="H99">
        <v>34830</v>
      </c>
      <c r="I99">
        <v>30715</v>
      </c>
      <c r="J99">
        <v>4115</v>
      </c>
      <c r="K99" s="1" t="s">
        <v>79</v>
      </c>
      <c r="L99" s="1" t="s">
        <v>21</v>
      </c>
      <c r="M99" s="1" t="s">
        <v>91</v>
      </c>
      <c r="N99" s="1" t="s">
        <v>67</v>
      </c>
      <c r="O99" s="1" t="s">
        <v>37</v>
      </c>
      <c r="P99" s="1" t="s">
        <v>38</v>
      </c>
      <c r="Q99" s="1" t="s">
        <v>26</v>
      </c>
      <c r="R99" s="1" t="s">
        <v>27</v>
      </c>
      <c r="S99" s="1" t="s">
        <v>76</v>
      </c>
      <c r="T99" s="1" t="s">
        <v>29</v>
      </c>
      <c r="U99">
        <v>205.75</v>
      </c>
      <c r="V99">
        <v>2064</v>
      </c>
      <c r="W99">
        <v>6384.75</v>
      </c>
      <c r="X99" s="1" t="s">
        <v>29</v>
      </c>
      <c r="Y99">
        <v>850</v>
      </c>
      <c r="Z99">
        <v>5534.75</v>
      </c>
      <c r="AA99" s="6"/>
      <c r="AB99" s="4" t="str">
        <v>International Package</v>
      </c>
      <c r="AC99" s="4" t="str">
        <v>Normal Booking</v>
      </c>
      <c r="AD99" s="4" t="str">
        <v>Confirmed</v>
      </c>
      <c r="AE99" s="4" t="str">
        <v>Silver</v>
      </c>
      <c r="AF99" s="4" t="str">
        <v>Family</v>
      </c>
      <c r="AG99" s="4" t="str">
        <f>IF(AND(Travel_Tourism_Booking_100_Records[[#This Row],[Booking Status]]="Confirmed",Travel_Tourism_Booking_100_Records[[#This Row],[Travelers]]&gt;=4),"Eligible","Not")</f>
        <v>Eligible</v>
      </c>
      <c r="AH99" s="4" t="str">
        <f>IF(AND(Travel_Tourism_Booking_100_Records[[#This Row],[Final Amount]]&gt;=75000,Travel_Tourism_Booking_100_Records[[#This Row],[Payment Mode]]="Credit Card"),"Eligible","Not Eligible")</f>
        <v>Not Eligible</v>
      </c>
      <c r="AI99" s="4" t="str">
        <f>IF(OR(Travel_Tourism_Booking_100_Records[[#This Row],[Booking Status]]="Confirmed",Travel_Tourism_Booking_100_Records[[#This Row],[Final Amount]]&gt;=150000),"High Priority","Not")</f>
        <v>High Priority</v>
      </c>
      <c r="AJ99" s="4" t="str">
        <f>IF(OR(Travel_Tourism_Booking_100_Records[[#This Row],[Payment Mode]]="Credit Card",Travel_Tourism_Booking_100_Records[[#This Row],[Travelers]]&gt;6),"Repeat Customer","Not Repeat")</f>
        <v>Not Repeat</v>
      </c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</row>
    <row r="100" spans="1:55" x14ac:dyDescent="0.35">
      <c r="A100" s="1" t="s">
        <v>253</v>
      </c>
      <c r="B100" s="1" t="s">
        <v>102</v>
      </c>
      <c r="C100" s="1" t="s">
        <v>61</v>
      </c>
      <c r="D100" s="1" t="s">
        <v>33</v>
      </c>
      <c r="E100" s="2">
        <v>46137</v>
      </c>
      <c r="F100" s="2">
        <v>46159</v>
      </c>
      <c r="G100">
        <v>4</v>
      </c>
      <c r="H100">
        <v>120752</v>
      </c>
      <c r="I100">
        <v>24570</v>
      </c>
      <c r="J100">
        <v>96182</v>
      </c>
      <c r="K100" s="1" t="s">
        <v>54</v>
      </c>
      <c r="L100" s="1" t="s">
        <v>82</v>
      </c>
      <c r="M100" s="1" t="s">
        <v>22</v>
      </c>
      <c r="N100" s="1" t="s">
        <v>62</v>
      </c>
      <c r="O100" s="1" t="s">
        <v>24</v>
      </c>
      <c r="P100" s="1" t="s">
        <v>49</v>
      </c>
      <c r="Q100" s="1" t="s">
        <v>39</v>
      </c>
      <c r="R100" s="1" t="s">
        <v>57</v>
      </c>
      <c r="S100" s="1" t="s">
        <v>28</v>
      </c>
      <c r="T100" s="1" t="s">
        <v>41</v>
      </c>
      <c r="U100">
        <v>4809.1000000000004</v>
      </c>
      <c r="V100">
        <v>632</v>
      </c>
      <c r="W100">
        <v>101623.1</v>
      </c>
      <c r="X100" s="1" t="s">
        <v>41</v>
      </c>
      <c r="Y100">
        <v>0</v>
      </c>
      <c r="Z100">
        <v>5534.75</v>
      </c>
      <c r="AA100" s="6"/>
      <c r="AB100" s="4" t="str">
        <v>International Package</v>
      </c>
      <c r="AC100" s="4" t="str">
        <v>High Value</v>
      </c>
      <c r="AD100" s="4" t="str">
        <v xml:space="preserve">Not Confirmed </v>
      </c>
      <c r="AE100" s="4" t="str">
        <v>Gold</v>
      </c>
      <c r="AF100" s="4" t="str">
        <v>Small Group</v>
      </c>
      <c r="AG100" s="4" t="str">
        <f>IF(AND(Travel_Tourism_Booking_100_Records[[#This Row],[Booking Status]]="Confirmed",Travel_Tourism_Booking_100_Records[[#This Row],[Travelers]]&gt;=4),"Eligible","Not")</f>
        <v>Not</v>
      </c>
      <c r="AH100" s="4" t="str">
        <f>IF(AND(Travel_Tourism_Booking_100_Records[[#This Row],[Final Amount]]&gt;=75000,Travel_Tourism_Booking_100_Records[[#This Row],[Payment Mode]]="Credit Card"),"Eligible","Not Eligible")</f>
        <v>Not Eligible</v>
      </c>
      <c r="AI100" s="4" t="str">
        <f>IF(OR(Travel_Tourism_Booking_100_Records[[#This Row],[Booking Status]]="Confirmed",Travel_Tourism_Booking_100_Records[[#This Row],[Final Amount]]&gt;=150000),"High Priority","Not")</f>
        <v>Not</v>
      </c>
      <c r="AJ100" s="4" t="str">
        <f>IF(OR(Travel_Tourism_Booking_100_Records[[#This Row],[Payment Mode]]="Credit Card",Travel_Tourism_Booking_100_Records[[#This Row],[Travelers]]&gt;6),"Repeat Customer","Not Repeat")</f>
        <v>Not Repeat</v>
      </c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</row>
    <row r="101" spans="1:55" x14ac:dyDescent="0.35">
      <c r="A101" s="1" t="s">
        <v>254</v>
      </c>
      <c r="B101" s="1" t="s">
        <v>132</v>
      </c>
      <c r="C101" s="1" t="s">
        <v>111</v>
      </c>
      <c r="D101" s="1" t="s">
        <v>71</v>
      </c>
      <c r="E101" s="2">
        <v>46086</v>
      </c>
      <c r="F101" s="2">
        <v>46125</v>
      </c>
      <c r="G101">
        <v>5</v>
      </c>
      <c r="H101">
        <v>107189</v>
      </c>
      <c r="I101">
        <v>59089</v>
      </c>
      <c r="J101">
        <v>48100</v>
      </c>
      <c r="K101" s="1" t="s">
        <v>34</v>
      </c>
      <c r="L101" s="1" t="s">
        <v>21</v>
      </c>
      <c r="M101" s="1" t="s">
        <v>35</v>
      </c>
      <c r="N101" s="1" t="s">
        <v>67</v>
      </c>
      <c r="O101" s="1" t="s">
        <v>48</v>
      </c>
      <c r="P101" s="1" t="s">
        <v>49</v>
      </c>
      <c r="Q101" s="1" t="s">
        <v>26</v>
      </c>
      <c r="R101" s="1" t="s">
        <v>57</v>
      </c>
      <c r="S101" s="1" t="s">
        <v>50</v>
      </c>
      <c r="T101" s="1" t="s">
        <v>29</v>
      </c>
      <c r="U101">
        <v>2405</v>
      </c>
      <c r="V101">
        <v>2449</v>
      </c>
      <c r="W101">
        <v>52954</v>
      </c>
      <c r="X101" s="1" t="s">
        <v>29</v>
      </c>
      <c r="Y101">
        <v>2778</v>
      </c>
      <c r="Z101">
        <v>50176</v>
      </c>
      <c r="AA101" s="6"/>
      <c r="AB101" s="4" t="str">
        <v>International Package</v>
      </c>
      <c r="AC101" s="4" t="str">
        <v>High Value</v>
      </c>
      <c r="AD101" s="4" t="str">
        <v>Confirmed</v>
      </c>
      <c r="AE101" s="4" t="str">
        <v>Silver</v>
      </c>
      <c r="AF101" s="4" t="str">
        <v>Family</v>
      </c>
      <c r="AG101" s="4" t="str">
        <f>IF(AND(Travel_Tourism_Booking_100_Records[[#This Row],[Booking Status]]="Confirmed",Travel_Tourism_Booking_100_Records[[#This Row],[Travelers]]&gt;=4),"Eligible","Not")</f>
        <v>Eligible</v>
      </c>
      <c r="AH101" s="4" t="str">
        <f>IF(AND(Travel_Tourism_Booking_100_Records[[#This Row],[Final Amount]]&gt;=75000,Travel_Tourism_Booking_100_Records[[#This Row],[Payment Mode]]="Credit Card"),"Eligible","Not Eligible")</f>
        <v>Not Eligible</v>
      </c>
      <c r="AI101" s="4" t="str">
        <f>IF(OR(Travel_Tourism_Booking_100_Records[[#This Row],[Booking Status]]="Confirmed",Travel_Tourism_Booking_100_Records[[#This Row],[Final Amount]]&gt;=150000),"High Priority","Not")</f>
        <v>High Priority</v>
      </c>
      <c r="AJ101" s="4" t="str">
        <f>IF(OR(Travel_Tourism_Booking_100_Records[[#This Row],[Payment Mode]]="Credit Card",Travel_Tourism_Booking_100_Records[[#This Row],[Travelers]]&gt;6),"Repeat Customer","Not Repeat")</f>
        <v>Not Repeat</v>
      </c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07A26-4204-4A50-A995-F0CBA7BCC28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1EA89A-4C6C-43EF-A4D9-B13B661720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Travel_Tourism_Booking_100_Reco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2026-08-04T04:55:18Z</dcterms:created>
  <dcterms:modified xsi:type="dcterms:W3CDTF">2026-08-06T05:48:34Z</dcterms:modified>
</cp:coreProperties>
</file>